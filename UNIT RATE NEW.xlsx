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updateLinks="always"/>
  <mc:AlternateContent xmlns:mc="http://schemas.openxmlformats.org/markup-compatibility/2006">
    <mc:Choice Requires="x15">
      <x15ac:absPath xmlns:x15ac="http://schemas.microsoft.com/office/spreadsheetml/2010/11/ac" url="G:\02. M.ARCH\SEM 04\01. THESIS\QTO\"/>
    </mc:Choice>
  </mc:AlternateContent>
  <xr:revisionPtr revIDLastSave="0" documentId="13_ncr:1_{DFCFCC4D-ABFC-40FE-A76E-5DA93AE33304}" xr6:coauthVersionLast="47" xr6:coauthVersionMax="47" xr10:uidLastSave="{00000000-0000-0000-0000-000000000000}"/>
  <bookViews>
    <workbookView xWindow="-120" yWindow="-120" windowWidth="29040" windowHeight="16440" tabRatio="894" activeTab="3" xr2:uid="{50EE93C1-8FAC-F044-B43A-1D35CCCBF5D1}"/>
  </bookViews>
  <sheets>
    <sheet name="TN SOR data - Labour" sheetId="35" r:id="rId1"/>
    <sheet name="TN SOR data - Material" sheetId="36" r:id="rId2"/>
    <sheet name="SOR data - Equipment" sheetId="37" r:id="rId3"/>
    <sheet name="Work Item Package" sheetId="1" r:id="rId4"/>
    <sheet name="LEAD &amp; LIFT" sheetId="34" r:id="rId5"/>
    <sheet name="A" sheetId="5" r:id="rId6"/>
    <sheet name="B1" sheetId="6" r:id="rId7"/>
    <sheet name="B2" sheetId="7" r:id="rId8"/>
    <sheet name="B3" sheetId="8" r:id="rId9"/>
    <sheet name="B4" sheetId="9" r:id="rId10"/>
    <sheet name="B5" sheetId="10" r:id="rId11"/>
    <sheet name="C1" sheetId="38" r:id="rId12"/>
    <sheet name="C2" sheetId="12" r:id="rId13"/>
    <sheet name="C3" sheetId="13" r:id="rId14"/>
    <sheet name="D1" sheetId="19" r:id="rId15"/>
    <sheet name="E1" sheetId="29" r:id="rId16"/>
    <sheet name="E2" sheetId="41" r:id="rId17"/>
    <sheet name="E3" sheetId="39" r:id="rId18"/>
    <sheet name="E4" sheetId="32" r:id="rId19"/>
    <sheet name="E5" sheetId="33" r:id="rId20"/>
  </sheets>
  <externalReferences>
    <externalReference r:id="rId21"/>
  </externalReferences>
  <definedNames>
    <definedName name="____can435">43.3</definedName>
    <definedName name="___can430">40.73</definedName>
    <definedName name="___can435">43.3</definedName>
    <definedName name="___xlnm.Print_Titles">#N/A</definedName>
    <definedName name="__can435">43.3</definedName>
    <definedName name="__xlnm.Print_Titles">#N/A</definedName>
    <definedName name="_can435">43.3</definedName>
    <definedName name="ACT_1">"$#REF!.$K$10"</definedName>
    <definedName name="ae_1">"$#REF!.$K$2"</definedName>
    <definedName name="alround_3_1">"$#REF!.#REF!#REF!"</definedName>
    <definedName name="b_1">"$#REF!.$D$11"</definedName>
    <definedName name="Beg_Bal_7">"$#REF!.$C$16:$C$327"</definedName>
    <definedName name="bel_1">"$#REF!.$AA$55"</definedName>
    <definedName name="Bhi_3_1">"$#REF!.#REF!#REF!"</definedName>
    <definedName name="bl_3_1">"'file:///D:/New folder/external developement/pondy(s)/TECH SANCTN/Bang (North)_Technical/3 Int electrical.xls'#$'Sqn_Abs_G_6_ '.$#REF!$#REF!"</definedName>
    <definedName name="blg4_2">"'file://Natraj/d/DHI/Defence/Market Rate Analysis/Bangalore-Central/3-Int-Ele-Abs.xls'#$'Sqn _Main_ Abs'.$#REF!$#REF!"</definedName>
    <definedName name="blg4_3_1">"'file://Natraj/d/DHI/Defence/Market Rate Analysis/Bangalore-Central/3-Int-Ele-Abs.xls'#$'Sqn _Main_ Abs'.$#REF!$#REF!"</definedName>
    <definedName name="bli_3_1">"'file:///D:/New folder/external developement/pondy(s)/TECH SANCTN/Bang (North)_Technical/3 Int electrical.xls'#$'WO_Abs _G_2_ 6 DUs'.$#REF!$#REF!"</definedName>
    <definedName name="bs_1">"$#REF!.$AR$7"</definedName>
    <definedName name="Button_7">"AS_PER_TALLY_31_09_04_ONYX_List1"</definedName>
    <definedName name="Button_8">"AS_PER_TALLY_31_09_04_ONYX_List1"</definedName>
    <definedName name="C_">#N/A</definedName>
    <definedName name="caI_1">"$'mar_ rat_ana'.$#REF!$#REF!"</definedName>
    <definedName name="caII_1">"$'mar_ rat_ana'.$#REF!$#REF!"</definedName>
    <definedName name="cal_1">"$#REF!.$J$13"</definedName>
    <definedName name="cd_1">"$#REF!.$M$5"</definedName>
    <definedName name="Cement_1">"$#REF!.$AN$6"</definedName>
    <definedName name="ci_1">"$#REF!.$N$4"</definedName>
    <definedName name="CompanyInfo2">"JCI"</definedName>
    <definedName name="conc13_7">"'file:///../Shoolagir===/Samayasangili Library.xls'#$Spec.$#REF!$#REF!"</definedName>
    <definedName name="ContractNumber">"88888888"</definedName>
    <definedName name="convey_7">"'file:///../Shoolagir===/Samayasangili Library.xls'#$Spec.$#REF!$#REF!"</definedName>
    <definedName name="Data_7">"$#REF!.$A$16:$I$327"</definedName>
    <definedName name="Demolishing_lime_concrete_manually_by_mechanical_means_and_disposal_of_material_as_directed">"CPWD 15.1"</definedName>
    <definedName name="DocumentNumber">""</definedName>
    <definedName name="du_3_1">"'file:///D:/New folder/external developement/pondy(s)/TECH SANCTN/Bang (North)_Technical/3 Int electrical.xls'#$'Sqn_Abs_G_6_ '.$#REF!$#REF!"</definedName>
    <definedName name="dui_3_1">"'file:///D:/New folder/external developement/pondy(s)/TECH SANCTN/Bang (North)_Technical/3 Int electrical.xls'#$'WO_Abs _G_2_ 6 DUs'.$#REF!$#REF!"</definedName>
    <definedName name="DW_3_1">"'file:///D:/New folder/external developement/pondy(s)/TECH SANCTN/Bang (North)_Technical/3 Int electrical.xls'#$'Sqn_Abs_G_6_ '.$#REF!$#REF!"</definedName>
    <definedName name="el_1">"$#REF!.$AH$6"</definedName>
    <definedName name="End_Bal_7">"$#REF!.$I$16:$I$327"</definedName>
    <definedName name="et_3_1">"'file://Natraj/d/DHI/Defence/Bangalore (central)/E L E C T/Int-Abs&amp;Take-off(new).xls'#$Sqn_Abs.$#REF!$#REF!"</definedName>
    <definedName name="Excel_BuiltIn_Print_Area_3_1_7">"$#REF!.$A$19:$V$60"</definedName>
    <definedName name="Excel_BuiltIn_Print_Area_4_1">"$#REF!.$A$19:$I$41"</definedName>
    <definedName name="Excel_BuiltIn_Print_Area_5_1">"$#REF!.$A$19:$H$225"</definedName>
    <definedName name="Excel_BuiltIn_Print_Area_8_1_7">"$#REF!.$A$1:$I$63"</definedName>
    <definedName name="Excel_BuiltIn_Print_Titles_1">"$#REF!.$A$8:$IV$9"</definedName>
    <definedName name="Excel_BuiltIn_Print_Titles_2">"$#REF!.$A$8:$IV$9"</definedName>
    <definedName name="Excel_BuiltIn_Print_Titles_3">"$#REF!.$A$8:$IV$9"</definedName>
    <definedName name="Excel_BuiltIn_Print_Titles_6">"$#REF!.$A$8:$IV$9"</definedName>
    <definedName name="Extra_Pay_7">"$#REF!.$E$16:$E$327"</definedName>
    <definedName name="fab_1">"$#REF!.$AH$7"</definedName>
    <definedName name="fbl_1">"$#REF!.$E$12"</definedName>
    <definedName name="fd_3_1">"$#REF!.$#REF!$#REF!"</definedName>
    <definedName name="fdfdsf">#N/A</definedName>
    <definedName name="fe_3_1">"'file://Natraj/d/DHI/Defence/Market Rate Analysis/Bangalore-Central/3-Int-Ele-Abs.xls'#$'Sqn _Main_ Abs'.$#REF!$#REF!"</definedName>
    <definedName name="ff_3_1">"'file:///D:/New folder/external developement/pondy(s)/HPCL/Annexur_A.xls'#$OHT_Abs.$#REF!$#REF!"</definedName>
    <definedName name="fi_1">"$#REF!.$AH$3"</definedName>
    <definedName name="Fit_3_1">"$#REF!.#REF!#REF!"</definedName>
    <definedName name="fitter_3_1">"$#REF!.#REF!#REF!"</definedName>
    <definedName name="fr_1">"$#REF!.$AH$3"</definedName>
    <definedName name="fs_3_1">"'file:///D:/New folder/external developement/pondy(s)/TECH SANCTN/Bang (North)_Technical/3 Int electrical.xls'#$'Sqn_Abs_G_6_ '.$#REF!$#REF!"</definedName>
    <definedName name="fsb_3_1">"'file:///D:/New folder/external developement/pondy(s)/TECH SANCTN/Bang (North)_Technical/3 Int electrical.xls'#$'Sqn_Abs_G_6_ '.$#REF!$#REF!"</definedName>
    <definedName name="fsbl_3_1">"'file:///D:/New folder/external developement/pondy(s)/TECH SANCTN/Bang (North)_Technical/3 Int electrical.xls'#$'Sqn_Abs_G_6_ '.$#REF!$#REF!"</definedName>
    <definedName name="fsi_3_1">"'file:///D:/New folder/external developement/pondy(s)/TECH SANCTN/Bang (North)_Technical/3 Int electrical.xls'#$'Sqn_Abs_G_6_ '.$#REF!$#REF!"</definedName>
    <definedName name="Full_Print_7">"$#REF!.$A$1:$I$327"</definedName>
    <definedName name="GF_1">"'file://Natraj/d/DHI/Defence/Market Rate Analysis/Bangalore south/M-Rate analysis/BOQ/02-Civil-Abs(Rate analysis).xls'#$'sqn_ldr_3 Unit_2_'.$#REF!$#REF!"</definedName>
    <definedName name="gfbl_3_1">"'file:///D:/New folder/external developement/pondy(s)/TECH SANCTN/Bang (North)_Technical/3 Int electrical.xls'#$'Sqn_Abs_G_6_ '.$#REF!$#REF!"</definedName>
    <definedName name="gfi_3_1">"'file:///D:/New folder/external developement/pondy(s)/TECH SANCTN/Bang (North)_Technical/3 Int electrical.xls'#$'Air_Abs_G_6_ 23 DUs'.$#REF!$#REF!"</definedName>
    <definedName name="gg_hg">#N/A</definedName>
    <definedName name="gt_3_1">"'file:///D:/New folder/external developement/pondy(s)/TECH SANCTN/Bang (North)_Technical/3 Int electrical.xls'#$'Sqn_Abs_G_6_ '.$#REF!$#REF!"</definedName>
    <definedName name="gtbl_3_1">"'file:///D:/New folder/external developement/pondy(s)/TECH SANCTN/Bang (North)_Technical/3 Int electrical.xls'#$'Sqn_Abs_G_6_ '.$#REF!$#REF!"</definedName>
    <definedName name="gti_3_1">"'file:///D:/New folder/external developement/pondy(s)/TECH SANCTN/Bang (North)_Technical/3 Int electrical.xls'#$'Sqn_Abs_G_6_ '.$#REF!$#REF!"</definedName>
    <definedName name="gtib_3_1">"'file:///D:/New folder/external developement/pondy(s)/TECH SANCTN/Bang (North)_Technical/3 Int electrical.xls'#$'Sqn_Abs_G_6_ '.$#REF!$#REF!"</definedName>
    <definedName name="H810._1">"$#REF!.$H$354"</definedName>
    <definedName name="Ham_3_1">"$#REF!.#REF!#REF!"</definedName>
    <definedName name="he_1">"$#REF!.$K$9"</definedName>
    <definedName name="Header_Row_7">NA()</definedName>
    <definedName name="Hel_3_1">"$#REF!.#REF!#REF!"</definedName>
    <definedName name="HH">#N/A</definedName>
    <definedName name="ic_1">"$#REF!.$J$7"</definedName>
    <definedName name="Int_7">"$#REF!.$H$16:$H$327"</definedName>
    <definedName name="Interest_Rate_7">"$#REF!.$D$7"</definedName>
    <definedName name="JJJJ">#N/A</definedName>
    <definedName name="Ka_nd">#N/A</definedName>
    <definedName name="Kalangani">#N/A</definedName>
    <definedName name="Karadi">#N/A</definedName>
    <definedName name="KK">#N/A</definedName>
    <definedName name="kk_JK">#N/A</definedName>
    <definedName name="Lin_3_1">"$#REF!.#REF!#REF!"</definedName>
    <definedName name="Loan_Amount_7">"$#REF!.$D$6"</definedName>
    <definedName name="Loan_Years_7">"$#REF!.$D$8"</definedName>
    <definedName name="m_1">"$#REF!.$K$2"</definedName>
    <definedName name="ma1_1">"$#REF!.$AR$3"</definedName>
    <definedName name="ma2_1">"$#REF!.$AR$4"</definedName>
    <definedName name="Mas_3_1">"$#REF!.#REF!#REF!"</definedName>
    <definedName name="mat_3_1">"$#REF!.#REF!#REF!"</definedName>
    <definedName name="Maz_3_1">"$#REF!.#REF!#REF!"</definedName>
    <definedName name="mz1_1">"$#REF!.$AR$5"</definedName>
    <definedName name="mz2_1">"$#REF!.$AR$6"</definedName>
    <definedName name="Num_Pmt_Per_Year_7">"$#REF!.$D$9"</definedName>
    <definedName name="ohp1_1">"$#REF!.$AK$4"</definedName>
    <definedName name="Pai_3_1">"$#REF!.#REF!#REF!"</definedName>
    <definedName name="Pay_Date_7">"$#REF!.$B$16:$B$327"</definedName>
    <definedName name="Pay_Num_7">"$#REF!.$A$16:$A$327"</definedName>
    <definedName name="pi_3_1">"'file:///D:/New folder/external developement/pondy(s)/HPCL/HAL_take_hangar.xls'#$Rate_Analysis.$#REF!$#REF!"</definedName>
    <definedName name="Plu_3_1">"$#REF!.#REF!#REF!"</definedName>
    <definedName name="Pond">#N/A</definedName>
    <definedName name="PP">#N/A</definedName>
    <definedName name="Precast_7">"'file:///../Shoolagir===/Samayasangili Library.xls'#$Spec.$#REF!$#REF!"</definedName>
    <definedName name="Princ_7">"$#REF!.$G$16:$G$327"</definedName>
    <definedName name="ProjectName">"Test"</definedName>
    <definedName name="ProjectName1">"Test"</definedName>
    <definedName name="ProjectName2">"Test"</definedName>
    <definedName name="ProjectName3">"Test"</definedName>
    <definedName name="RCC12_7">"'file:///../Shoolagir===/Samayasangili Library.xls'#$Spec.$#REF!$#REF!"</definedName>
    <definedName name="re_1">"$#REF!.$K$52"</definedName>
    <definedName name="RR_7">"'file:///../Shoolagir===/Samayasangili Library.xls'#$Spec.$#REF!$#REF!"</definedName>
    <definedName name="RWP_7">"'file:///../Shoolagir===/Samayasangili Library.xls'#$Spec.$#REF!$#REF!"</definedName>
    <definedName name="Sand_1">"$#REF!.$AN$5"</definedName>
    <definedName name="Sanitary">"$#REF!.$#REF!$#REF!"</definedName>
    <definedName name="Sched_Pay_7">"$#REF!.$D$16:$D$327"</definedName>
    <definedName name="Scheduled_Interest_Rate_7">"$#REF!.$D$7"</definedName>
    <definedName name="Scheduled_Monthly_Payment_7">"$#REF!.$H$6"</definedName>
    <definedName name="sd1_2">"'file://M61/d/Defence/Electrical/DPR est/Gwalior(DPR).xls'#$Electrical.$#REF!$#REF!"</definedName>
    <definedName name="sd1_3_1">"'file://M61/d/Defence/Electrical/DPR est/Gwalior(DPR).xls'#$Electrical.$#REF!$#REF!"</definedName>
    <definedName name="sd10_2">"'file://M61/d/Defence/Electrical/DPR est/Gwalior(DPR).xls'#$Electrical.$#REF!$#REF!"</definedName>
    <definedName name="sd10_3_1">"'file://M61/d/Defence/Electrical/DPR est/Gwalior(DPR).xls'#$Electrical.$#REF!$#REF!"</definedName>
    <definedName name="sd11_2">"'file://M61/d/Defence/Electrical/DPR est/Gwalior(DPR).xls'#$Electrical.$#REF!$#REF!"</definedName>
    <definedName name="sd11_3_1">"'file://M61/d/Defence/Electrical/DPR est/Gwalior(DPR).xls'#$Electrical.$#REF!$#REF!"</definedName>
    <definedName name="sd12_2">"'file://M61/d/Defence/Electrical/DPR est/Gwalior(DPR).xls'#$Electrical.$#REF!$#REF!"</definedName>
    <definedName name="sd12_3_1">"'file://M61/d/Defence/Electrical/DPR est/Gwalior(DPR).xls'#$Electrical.$#REF!$#REF!"</definedName>
    <definedName name="sd13_2">"'file://M61/d/Defence/Electrical/DPR est/Gwalior(DPR).xls'#$Electrical.$#REF!$#REF!"</definedName>
    <definedName name="sd13_3_1">"'file://M61/d/Defence/Electrical/DPR est/Gwalior(DPR).xls'#$Electrical.$#REF!$#REF!"</definedName>
    <definedName name="sd14_2">"'file://M61/d/Defence/Electrical/DPR est/Gwalior(DPR).xls'#$Electrical.$#REF!$#REF!"</definedName>
    <definedName name="sd14_3_1">"'file://M61/d/Defence/Electrical/DPR est/Gwalior(DPR).xls'#$Electrical.$#REF!$#REF!"</definedName>
    <definedName name="sd2_2">"'file://M61/d/Defence/Electrical/DPR est/Gwalior(DPR).xls'#$Electrical.$#REF!$#REF!"</definedName>
    <definedName name="sd2_3_1">"'file://M61/d/Defence/Electrical/DPR est/Gwalior(DPR).xls'#$Electrical.$#REF!$#REF!"</definedName>
    <definedName name="sd3_2">"'file://M61/d/Defence/Electrical/DPR est/Gwalior(DPR).xls'#$Electrical.$#REF!$#REF!"</definedName>
    <definedName name="sd3_3_1">"'file://M61/d/Defence/Electrical/DPR est/Gwalior(DPR).xls'#$Electrical.$#REF!$#REF!"</definedName>
    <definedName name="sd5_2">"'file://M61/d/Defence/Electrical/DPR est/Gwalior(DPR).xls'#$Electrical.$#REF!$#REF!"</definedName>
    <definedName name="sd5_3_1">"'file://M61/d/Defence/Electrical/DPR est/Gwalior(DPR).xls'#$Electrical.$#REF!$#REF!"</definedName>
    <definedName name="sd6_2">"'file://M61/d/Defence/Electrical/DPR est/Gwalior(DPR).xls'#$Electrical.$#REF!$#REF!"</definedName>
    <definedName name="sd6_3_1">"'file://M61/d/Defence/Electrical/DPR est/Gwalior(DPR).xls'#$Electrical.$#REF!$#REF!"</definedName>
    <definedName name="sd7_2">"'file://M61/d/Defence/Electrical/DPR est/Gwalior(DPR).xls'#$Electrical.$#REF!$#REF!"</definedName>
    <definedName name="sd7_3_1">"'file://M61/d/Defence/Electrical/DPR est/Gwalior(DPR).xls'#$Electrical.$#REF!$#REF!"</definedName>
    <definedName name="sd8_2">"'file://M61/d/Defence/Electrical/DPR est/Gwalior(DPR).xls'#$Electrical.$#REF!$#REF!"</definedName>
    <definedName name="sd8_3_1">"'file://M61/d/Defence/Electrical/DPR est/Gwalior(DPR).xls'#$Electrical.$#REF!$#REF!"</definedName>
    <definedName name="sd9_2">"'file://M61/d/Defence/Electrical/DPR est/Gwalior(DPR).xls'#$Electrical.$#REF!$#REF!"</definedName>
    <definedName name="sd9_3_1">"'file://M61/d/Defence/Electrical/DPR est/Gwalior(DPR).xls'#$Electrical.$#REF!$#REF!"</definedName>
    <definedName name="sew_3_1">"'file://M61/d/Defence/Dpr/LBD,Abs Final/Inte-Ele (final).xls'#$Electrical.$#REF!$#REF!"</definedName>
    <definedName name="sf_1">"$#REF!.$E$12"</definedName>
    <definedName name="Short_Span____0.10_0__2">1144</definedName>
    <definedName name="sss_1">"$#REF!.$D$10"</definedName>
    <definedName name="St_1">"$'mar_ rat_ana'.$#REF!$#REF!"</definedName>
    <definedName name="st6_1">"$#REF!.#REF!#REF!"</definedName>
    <definedName name="st7_1">"$#REF!.$M$27"</definedName>
    <definedName name="st8_1">"$#REF!.$M$28"</definedName>
    <definedName name="TaxTV">10%</definedName>
    <definedName name="TaxXL">5%</definedName>
    <definedName name="Total_Pay_7">"$#REF!.$F$16:$F$327"</definedName>
    <definedName name="wc_1">"$#REF!.$AK$5"</definedName>
    <definedName name="we_1">"$#REF!.$M$5"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29" l="1"/>
  <c r="F30" i="1"/>
  <c r="D30" i="1"/>
  <c r="E22" i="41"/>
  <c r="D22" i="41"/>
  <c r="B22" i="41"/>
  <c r="F22" i="41" s="1"/>
  <c r="H22" i="41" s="1"/>
  <c r="E21" i="41"/>
  <c r="D21" i="41"/>
  <c r="B21" i="41"/>
  <c r="F21" i="41" s="1"/>
  <c r="G18" i="41"/>
  <c r="A18" i="41"/>
  <c r="C18" i="41" s="1"/>
  <c r="A17" i="41"/>
  <c r="G17" i="41" s="1"/>
  <c r="H14" i="41"/>
  <c r="F14" i="41"/>
  <c r="C14" i="41"/>
  <c r="A14" i="41"/>
  <c r="G14" i="41" s="1"/>
  <c r="G13" i="41"/>
  <c r="F13" i="41"/>
  <c r="H13" i="41" s="1"/>
  <c r="C13" i="41"/>
  <c r="A13" i="41"/>
  <c r="A12" i="41"/>
  <c r="G12" i="41" s="1"/>
  <c r="G11" i="41"/>
  <c r="A11" i="41"/>
  <c r="F11" i="41" s="1"/>
  <c r="H11" i="41" s="1"/>
  <c r="A8" i="41"/>
  <c r="F8" i="41" s="1"/>
  <c r="H8" i="41" s="1"/>
  <c r="F7" i="41"/>
  <c r="H7" i="41" s="1"/>
  <c r="A7" i="41"/>
  <c r="G7" i="41" s="1"/>
  <c r="G21" i="41" s="1"/>
  <c r="F31" i="1"/>
  <c r="D31" i="1"/>
  <c r="E22" i="39"/>
  <c r="D22" i="39"/>
  <c r="B22" i="39"/>
  <c r="F22" i="39" s="1"/>
  <c r="E21" i="39"/>
  <c r="D21" i="39"/>
  <c r="B21" i="39"/>
  <c r="F21" i="39" s="1"/>
  <c r="A18" i="39"/>
  <c r="F18" i="39" s="1"/>
  <c r="H18" i="39" s="1"/>
  <c r="A17" i="39"/>
  <c r="C17" i="39" s="1"/>
  <c r="F14" i="39"/>
  <c r="H14" i="39" s="1"/>
  <c r="C14" i="39"/>
  <c r="A14" i="39"/>
  <c r="G14" i="39" s="1"/>
  <c r="G13" i="39"/>
  <c r="F13" i="39"/>
  <c r="H13" i="39" s="1"/>
  <c r="A13" i="39"/>
  <c r="C13" i="39" s="1"/>
  <c r="A12" i="39"/>
  <c r="G12" i="39" s="1"/>
  <c r="A11" i="39"/>
  <c r="G11" i="39" s="1"/>
  <c r="G8" i="39"/>
  <c r="G22" i="39" s="1"/>
  <c r="F8" i="39"/>
  <c r="H8" i="39" s="1"/>
  <c r="C8" i="39"/>
  <c r="A8" i="39"/>
  <c r="A7" i="39"/>
  <c r="G7" i="39" s="1"/>
  <c r="G21" i="39" s="1"/>
  <c r="F32" i="1"/>
  <c r="D32" i="1"/>
  <c r="E22" i="32"/>
  <c r="D22" i="32"/>
  <c r="B22" i="32"/>
  <c r="F22" i="32" s="1"/>
  <c r="H22" i="32" s="1"/>
  <c r="E21" i="32"/>
  <c r="D21" i="32"/>
  <c r="B21" i="32"/>
  <c r="F21" i="32" s="1"/>
  <c r="A18" i="32"/>
  <c r="G18" i="32" s="1"/>
  <c r="A17" i="32"/>
  <c r="F17" i="32" s="1"/>
  <c r="H17" i="32" s="1"/>
  <c r="F14" i="32"/>
  <c r="H14" i="32" s="1"/>
  <c r="C14" i="32"/>
  <c r="A14" i="32"/>
  <c r="G14" i="32" s="1"/>
  <c r="F13" i="32"/>
  <c r="H13" i="32" s="1"/>
  <c r="A13" i="32"/>
  <c r="G13" i="32" s="1"/>
  <c r="H12" i="32"/>
  <c r="G12" i="32"/>
  <c r="F12" i="32"/>
  <c r="C12" i="32"/>
  <c r="A12" i="32"/>
  <c r="A11" i="32"/>
  <c r="G11" i="32" s="1"/>
  <c r="G8" i="32"/>
  <c r="G22" i="32" s="1"/>
  <c r="C8" i="32"/>
  <c r="A8" i="32"/>
  <c r="F8" i="32" s="1"/>
  <c r="H8" i="32" s="1"/>
  <c r="F7" i="32"/>
  <c r="H7" i="32" s="1"/>
  <c r="A7" i="32"/>
  <c r="G7" i="32" s="1"/>
  <c r="G21" i="32" s="1"/>
  <c r="F33" i="1"/>
  <c r="D33" i="1"/>
  <c r="A8" i="33"/>
  <c r="G8" i="33" s="1"/>
  <c r="G22" i="33" s="1"/>
  <c r="E22" i="33"/>
  <c r="D22" i="33"/>
  <c r="B22" i="33"/>
  <c r="F22" i="33" s="1"/>
  <c r="H22" i="33" s="1"/>
  <c r="E21" i="33"/>
  <c r="D21" i="33"/>
  <c r="B21" i="33"/>
  <c r="F21" i="33" s="1"/>
  <c r="A18" i="33"/>
  <c r="F18" i="33" s="1"/>
  <c r="H18" i="33" s="1"/>
  <c r="A17" i="33"/>
  <c r="F17" i="33" s="1"/>
  <c r="H17" i="33" s="1"/>
  <c r="F14" i="33"/>
  <c r="H14" i="33" s="1"/>
  <c r="C14" i="33"/>
  <c r="A14" i="33"/>
  <c r="G14" i="33" s="1"/>
  <c r="G13" i="33"/>
  <c r="F13" i="33"/>
  <c r="H13" i="33" s="1"/>
  <c r="A13" i="33"/>
  <c r="C13" i="33" s="1"/>
  <c r="G12" i="33"/>
  <c r="A12" i="33"/>
  <c r="C12" i="33" s="1"/>
  <c r="A11" i="33"/>
  <c r="G11" i="33" s="1"/>
  <c r="F7" i="33"/>
  <c r="H7" i="33" s="1"/>
  <c r="A7" i="33"/>
  <c r="G7" i="33" s="1"/>
  <c r="G21" i="33" s="1"/>
  <c r="F29" i="1"/>
  <c r="D29" i="1"/>
  <c r="E22" i="29"/>
  <c r="D22" i="29"/>
  <c r="B22" i="29"/>
  <c r="F22" i="29" s="1"/>
  <c r="E21" i="29"/>
  <c r="D21" i="29"/>
  <c r="B21" i="29"/>
  <c r="F21" i="29" s="1"/>
  <c r="A18" i="29"/>
  <c r="G18" i="29" s="1"/>
  <c r="A17" i="29"/>
  <c r="G17" i="29" s="1"/>
  <c r="A14" i="29"/>
  <c r="C14" i="29" s="1"/>
  <c r="A13" i="29"/>
  <c r="F13" i="29" s="1"/>
  <c r="H13" i="29" s="1"/>
  <c r="A12" i="29"/>
  <c r="G12" i="29" s="1"/>
  <c r="A11" i="29"/>
  <c r="G11" i="29" s="1"/>
  <c r="F8" i="29"/>
  <c r="H8" i="29" s="1"/>
  <c r="A7" i="29"/>
  <c r="F7" i="29" s="1"/>
  <c r="H7" i="29" s="1"/>
  <c r="E34" i="13"/>
  <c r="D34" i="13"/>
  <c r="B34" i="13"/>
  <c r="F34" i="13" s="1"/>
  <c r="H34" i="13" s="1"/>
  <c r="F33" i="13"/>
  <c r="H33" i="13" s="1"/>
  <c r="E33" i="13"/>
  <c r="D33" i="13"/>
  <c r="B33" i="13"/>
  <c r="F32" i="13"/>
  <c r="H32" i="13" s="1"/>
  <c r="E32" i="13"/>
  <c r="D32" i="13"/>
  <c r="B32" i="13"/>
  <c r="E31" i="13"/>
  <c r="D31" i="13"/>
  <c r="B31" i="13"/>
  <c r="F31" i="13" s="1"/>
  <c r="H31" i="13" s="1"/>
  <c r="A28" i="13"/>
  <c r="G28" i="13" s="1"/>
  <c r="A27" i="13"/>
  <c r="C27" i="13" s="1"/>
  <c r="A26" i="13"/>
  <c r="G26" i="13" s="1"/>
  <c r="F25" i="13"/>
  <c r="H25" i="13" s="1"/>
  <c r="A25" i="13"/>
  <c r="G25" i="13" s="1"/>
  <c r="A24" i="13"/>
  <c r="G24" i="13" s="1"/>
  <c r="A21" i="13"/>
  <c r="A20" i="13"/>
  <c r="F20" i="13" s="1"/>
  <c r="H20" i="13" s="1"/>
  <c r="A19" i="13"/>
  <c r="G19" i="13" s="1"/>
  <c r="A18" i="13"/>
  <c r="F18" i="13" s="1"/>
  <c r="H18" i="13" s="1"/>
  <c r="A17" i="13"/>
  <c r="F17" i="13" s="1"/>
  <c r="H17" i="13" s="1"/>
  <c r="A16" i="13"/>
  <c r="G16" i="13" s="1"/>
  <c r="A15" i="13"/>
  <c r="F15" i="13" s="1"/>
  <c r="H15" i="13" s="1"/>
  <c r="A14" i="13"/>
  <c r="C14" i="13" s="1"/>
  <c r="G21" i="13"/>
  <c r="G20" i="13"/>
  <c r="G18" i="13"/>
  <c r="A11" i="13"/>
  <c r="G11" i="13" s="1"/>
  <c r="A10" i="13"/>
  <c r="G10" i="13" s="1"/>
  <c r="G34" i="13" s="1"/>
  <c r="A9" i="13"/>
  <c r="G9" i="13" s="1"/>
  <c r="G33" i="13" s="1"/>
  <c r="A8" i="13"/>
  <c r="F8" i="13" s="1"/>
  <c r="H8" i="13" s="1"/>
  <c r="A7" i="13"/>
  <c r="G7" i="13" s="1"/>
  <c r="G31" i="13" s="1"/>
  <c r="E34" i="12"/>
  <c r="D34" i="12"/>
  <c r="B34" i="12"/>
  <c r="F34" i="12" s="1"/>
  <c r="H34" i="12" s="1"/>
  <c r="F33" i="12"/>
  <c r="E33" i="12"/>
  <c r="D33" i="12"/>
  <c r="B33" i="12"/>
  <c r="E32" i="12"/>
  <c r="D32" i="12"/>
  <c r="B32" i="12"/>
  <c r="F32" i="12" s="1"/>
  <c r="E31" i="12"/>
  <c r="D31" i="12"/>
  <c r="B31" i="12"/>
  <c r="F31" i="12" s="1"/>
  <c r="C28" i="12"/>
  <c r="A28" i="12"/>
  <c r="G28" i="12" s="1"/>
  <c r="A27" i="12"/>
  <c r="F27" i="12" s="1"/>
  <c r="H27" i="12" s="1"/>
  <c r="A26" i="12"/>
  <c r="G26" i="12" s="1"/>
  <c r="A25" i="12"/>
  <c r="F25" i="12" s="1"/>
  <c r="H25" i="12" s="1"/>
  <c r="A24" i="12"/>
  <c r="C24" i="12" s="1"/>
  <c r="A24" i="38"/>
  <c r="G24" i="38" s="1"/>
  <c r="A21" i="12"/>
  <c r="G21" i="12" s="1"/>
  <c r="A20" i="12"/>
  <c r="C20" i="12" s="1"/>
  <c r="A19" i="12"/>
  <c r="G19" i="12" s="1"/>
  <c r="A18" i="12"/>
  <c r="G18" i="12" s="1"/>
  <c r="C17" i="12"/>
  <c r="A17" i="12"/>
  <c r="G17" i="12" s="1"/>
  <c r="A16" i="12"/>
  <c r="F16" i="12" s="1"/>
  <c r="H16" i="12" s="1"/>
  <c r="A15" i="12"/>
  <c r="F15" i="12" s="1"/>
  <c r="H15" i="12" s="1"/>
  <c r="A14" i="12"/>
  <c r="C14" i="12" s="1"/>
  <c r="A11" i="12"/>
  <c r="G11" i="12" s="1"/>
  <c r="A10" i="12"/>
  <c r="G10" i="12" s="1"/>
  <c r="G34" i="12" s="1"/>
  <c r="A9" i="12"/>
  <c r="F9" i="12" s="1"/>
  <c r="H9" i="12" s="1"/>
  <c r="A8" i="12"/>
  <c r="G8" i="12" s="1"/>
  <c r="G32" i="12" s="1"/>
  <c r="A7" i="12"/>
  <c r="G7" i="12" s="1"/>
  <c r="G31" i="12" s="1"/>
  <c r="E34" i="38"/>
  <c r="E33" i="38"/>
  <c r="E32" i="38"/>
  <c r="E31" i="38"/>
  <c r="D34" i="38"/>
  <c r="D33" i="38"/>
  <c r="D32" i="38"/>
  <c r="D31" i="38"/>
  <c r="B34" i="38"/>
  <c r="F34" i="38" s="1"/>
  <c r="B33" i="38"/>
  <c r="F33" i="38" s="1"/>
  <c r="B32" i="38"/>
  <c r="F32" i="38" s="1"/>
  <c r="H32" i="38" s="1"/>
  <c r="B31" i="38"/>
  <c r="F31" i="38" s="1"/>
  <c r="H31" i="38" s="1"/>
  <c r="A28" i="38"/>
  <c r="G28" i="38" s="1"/>
  <c r="A27" i="38"/>
  <c r="F27" i="38" s="1"/>
  <c r="H27" i="38" s="1"/>
  <c r="A26" i="38"/>
  <c r="F26" i="38" s="1"/>
  <c r="H26" i="38" s="1"/>
  <c r="A25" i="38"/>
  <c r="F25" i="38" s="1"/>
  <c r="H25" i="38" s="1"/>
  <c r="A21" i="38"/>
  <c r="C21" i="38" s="1"/>
  <c r="A20" i="38"/>
  <c r="C20" i="38" s="1"/>
  <c r="A19" i="38"/>
  <c r="F19" i="38" s="1"/>
  <c r="H19" i="38" s="1"/>
  <c r="G20" i="38"/>
  <c r="A18" i="38"/>
  <c r="C18" i="38" s="1"/>
  <c r="A17" i="38"/>
  <c r="G17" i="38" s="1"/>
  <c r="E25" i="10"/>
  <c r="D25" i="10"/>
  <c r="B25" i="10"/>
  <c r="F25" i="10" s="1"/>
  <c r="H25" i="10" s="1"/>
  <c r="F24" i="10"/>
  <c r="H24" i="10" s="1"/>
  <c r="E24" i="10"/>
  <c r="D24" i="10"/>
  <c r="B24" i="10"/>
  <c r="E23" i="10"/>
  <c r="D23" i="10"/>
  <c r="B23" i="10"/>
  <c r="F23" i="10" s="1"/>
  <c r="H23" i="10" s="1"/>
  <c r="E25" i="9"/>
  <c r="D25" i="9"/>
  <c r="B25" i="9"/>
  <c r="F25" i="9" s="1"/>
  <c r="E24" i="9"/>
  <c r="D24" i="9"/>
  <c r="B24" i="9"/>
  <c r="F24" i="9" s="1"/>
  <c r="H24" i="9" s="1"/>
  <c r="F23" i="9"/>
  <c r="H23" i="9" s="1"/>
  <c r="E23" i="9"/>
  <c r="D23" i="9"/>
  <c r="B23" i="9"/>
  <c r="E25" i="8"/>
  <c r="D25" i="8"/>
  <c r="B25" i="8"/>
  <c r="F25" i="8" s="1"/>
  <c r="F24" i="8"/>
  <c r="E24" i="8"/>
  <c r="D24" i="8"/>
  <c r="B24" i="8"/>
  <c r="E23" i="8"/>
  <c r="D23" i="8"/>
  <c r="B23" i="8"/>
  <c r="F23" i="8" s="1"/>
  <c r="G25" i="7"/>
  <c r="E25" i="7"/>
  <c r="D25" i="7"/>
  <c r="B25" i="7"/>
  <c r="F25" i="7" s="1"/>
  <c r="H25" i="7" s="1"/>
  <c r="G24" i="7"/>
  <c r="E24" i="7"/>
  <c r="D24" i="7"/>
  <c r="B24" i="7"/>
  <c r="F24" i="7" s="1"/>
  <c r="G23" i="7"/>
  <c r="F23" i="7"/>
  <c r="E23" i="7"/>
  <c r="D23" i="7"/>
  <c r="B23" i="7"/>
  <c r="G25" i="6"/>
  <c r="G24" i="6"/>
  <c r="G23" i="6"/>
  <c r="E25" i="6"/>
  <c r="E24" i="6"/>
  <c r="E23" i="6"/>
  <c r="G24" i="19"/>
  <c r="G23" i="19"/>
  <c r="G22" i="19"/>
  <c r="E24" i="19"/>
  <c r="E23" i="19"/>
  <c r="E22" i="19"/>
  <c r="D24" i="19"/>
  <c r="H24" i="19" s="1"/>
  <c r="D23" i="19"/>
  <c r="H23" i="19" s="1"/>
  <c r="D22" i="19"/>
  <c r="D23" i="6"/>
  <c r="H23" i="6" s="1"/>
  <c r="D25" i="6"/>
  <c r="D24" i="6"/>
  <c r="B25" i="6"/>
  <c r="F25" i="6" s="1"/>
  <c r="H25" i="6" s="1"/>
  <c r="B24" i="6"/>
  <c r="F24" i="6" s="1"/>
  <c r="H24" i="6" s="1"/>
  <c r="B23" i="6"/>
  <c r="F23" i="6" s="1"/>
  <c r="B24" i="19"/>
  <c r="F24" i="19" s="1"/>
  <c r="B23" i="19"/>
  <c r="F23" i="19" s="1"/>
  <c r="B22" i="19"/>
  <c r="F22" i="19" s="1"/>
  <c r="H22" i="19" s="1"/>
  <c r="A11" i="38"/>
  <c r="G11" i="38" s="1"/>
  <c r="A10" i="38"/>
  <c r="G10" i="38" s="1"/>
  <c r="G34" i="38" s="1"/>
  <c r="A16" i="38"/>
  <c r="C16" i="38" s="1"/>
  <c r="A15" i="38"/>
  <c r="C15" i="38" s="1"/>
  <c r="A14" i="38"/>
  <c r="G14" i="38" s="1"/>
  <c r="A9" i="38"/>
  <c r="F9" i="38" s="1"/>
  <c r="H9" i="38" s="1"/>
  <c r="A8" i="38"/>
  <c r="C8" i="38" s="1"/>
  <c r="A7" i="38"/>
  <c r="F7" i="38" s="1"/>
  <c r="H7" i="38" s="1"/>
  <c r="F13" i="1"/>
  <c r="F12" i="1"/>
  <c r="D13" i="1"/>
  <c r="D12" i="1"/>
  <c r="A7" i="9"/>
  <c r="F7" i="9" s="1"/>
  <c r="H7" i="9" s="1"/>
  <c r="A20" i="10"/>
  <c r="G20" i="10" s="1"/>
  <c r="A19" i="10"/>
  <c r="C19" i="10" s="1"/>
  <c r="A18" i="10"/>
  <c r="G18" i="10" s="1"/>
  <c r="G15" i="10"/>
  <c r="C15" i="10"/>
  <c r="A15" i="10"/>
  <c r="F15" i="10" s="1"/>
  <c r="H15" i="10" s="1"/>
  <c r="A14" i="10"/>
  <c r="G14" i="10" s="1"/>
  <c r="A13" i="10"/>
  <c r="F13" i="10" s="1"/>
  <c r="H13" i="10" s="1"/>
  <c r="A12" i="10"/>
  <c r="C12" i="10" s="1"/>
  <c r="A7" i="10"/>
  <c r="G7" i="10" s="1"/>
  <c r="G23" i="10" s="1"/>
  <c r="A9" i="10"/>
  <c r="F9" i="10" s="1"/>
  <c r="H9" i="10" s="1"/>
  <c r="A8" i="10"/>
  <c r="C8" i="10" s="1"/>
  <c r="A20" i="9"/>
  <c r="G20" i="9" s="1"/>
  <c r="A19" i="9"/>
  <c r="G19" i="9" s="1"/>
  <c r="A18" i="9"/>
  <c r="G18" i="9" s="1"/>
  <c r="A15" i="9"/>
  <c r="G15" i="9" s="1"/>
  <c r="A14" i="9"/>
  <c r="C14" i="9" s="1"/>
  <c r="A13" i="9"/>
  <c r="G13" i="9" s="1"/>
  <c r="A12" i="9"/>
  <c r="G12" i="9" s="1"/>
  <c r="G9" i="9"/>
  <c r="G25" i="9" s="1"/>
  <c r="F9" i="9"/>
  <c r="H9" i="9" s="1"/>
  <c r="C9" i="9"/>
  <c r="A9" i="9"/>
  <c r="A8" i="9"/>
  <c r="G8" i="9" s="1"/>
  <c r="G24" i="9" s="1"/>
  <c r="G20" i="8"/>
  <c r="A20" i="8"/>
  <c r="F20" i="8" s="1"/>
  <c r="H20" i="8" s="1"/>
  <c r="A19" i="8"/>
  <c r="G19" i="8" s="1"/>
  <c r="G18" i="8"/>
  <c r="A18" i="8"/>
  <c r="F18" i="8" s="1"/>
  <c r="H18" i="8" s="1"/>
  <c r="A15" i="8"/>
  <c r="G15" i="8" s="1"/>
  <c r="A14" i="8"/>
  <c r="G14" i="8" s="1"/>
  <c r="A13" i="8"/>
  <c r="F13" i="8" s="1"/>
  <c r="H13" i="8" s="1"/>
  <c r="A12" i="8"/>
  <c r="C12" i="8" s="1"/>
  <c r="A9" i="8"/>
  <c r="G9" i="8" s="1"/>
  <c r="G25" i="8" s="1"/>
  <c r="A8" i="8"/>
  <c r="G8" i="8" s="1"/>
  <c r="G24" i="8" s="1"/>
  <c r="A7" i="8"/>
  <c r="F7" i="8" s="1"/>
  <c r="H7" i="8" s="1"/>
  <c r="A20" i="7"/>
  <c r="F20" i="7" s="1"/>
  <c r="H20" i="7" s="1"/>
  <c r="A19" i="7"/>
  <c r="G19" i="7" s="1"/>
  <c r="A18" i="7"/>
  <c r="F18" i="7" s="1"/>
  <c r="H18" i="7" s="1"/>
  <c r="A15" i="7"/>
  <c r="G15" i="7" s="1"/>
  <c r="A14" i="7"/>
  <c r="C14" i="7" s="1"/>
  <c r="A13" i="7"/>
  <c r="G13" i="7" s="1"/>
  <c r="A12" i="7"/>
  <c r="G12" i="7" s="1"/>
  <c r="A9" i="7"/>
  <c r="G9" i="7" s="1"/>
  <c r="F8" i="7"/>
  <c r="H8" i="7" s="1"/>
  <c r="A8" i="7"/>
  <c r="C8" i="7" s="1"/>
  <c r="A7" i="7"/>
  <c r="C7" i="7" s="1"/>
  <c r="A13" i="6"/>
  <c r="F13" i="6" s="1"/>
  <c r="H13" i="6" s="1"/>
  <c r="A12" i="6"/>
  <c r="C12" i="6" s="1"/>
  <c r="A13" i="19"/>
  <c r="G13" i="19" s="1"/>
  <c r="A12" i="19"/>
  <c r="G12" i="19" s="1"/>
  <c r="A20" i="6"/>
  <c r="F20" i="6" s="1"/>
  <c r="A19" i="19"/>
  <c r="F19" i="19" s="1"/>
  <c r="A18" i="5"/>
  <c r="G18" i="5" s="1"/>
  <c r="A19" i="6"/>
  <c r="G19" i="6" s="1"/>
  <c r="A18" i="19"/>
  <c r="F18" i="19" s="1"/>
  <c r="A18" i="6"/>
  <c r="G18" i="6" s="1"/>
  <c r="A15" i="6"/>
  <c r="F15" i="6" s="1"/>
  <c r="A14" i="6"/>
  <c r="F14" i="6" s="1"/>
  <c r="A9" i="6"/>
  <c r="C9" i="6" s="1"/>
  <c r="A8" i="6"/>
  <c r="C8" i="6" s="1"/>
  <c r="A7" i="6"/>
  <c r="G7" i="6" s="1"/>
  <c r="G12" i="5"/>
  <c r="G11" i="5"/>
  <c r="G10" i="5"/>
  <c r="A17" i="5"/>
  <c r="F17" i="5" s="1"/>
  <c r="A16" i="5"/>
  <c r="C16" i="5" s="1"/>
  <c r="F12" i="5"/>
  <c r="F11" i="5"/>
  <c r="C12" i="5"/>
  <c r="C11" i="5"/>
  <c r="F10" i="5"/>
  <c r="C10" i="5"/>
  <c r="A12" i="5"/>
  <c r="A11" i="5"/>
  <c r="A10" i="5"/>
  <c r="A15" i="5"/>
  <c r="F15" i="5" s="1"/>
  <c r="C24" i="34"/>
  <c r="C23" i="34"/>
  <c r="C22" i="34"/>
  <c r="D24" i="34"/>
  <c r="D23" i="34"/>
  <c r="D21" i="34"/>
  <c r="D22" i="34"/>
  <c r="C21" i="34"/>
  <c r="C20" i="34"/>
  <c r="D20" i="34"/>
  <c r="G25" i="12" l="1"/>
  <c r="C24" i="13"/>
  <c r="G18" i="39"/>
  <c r="C24" i="38"/>
  <c r="F24" i="13"/>
  <c r="H24" i="13" s="1"/>
  <c r="F18" i="41"/>
  <c r="H18" i="41" s="1"/>
  <c r="G18" i="33"/>
  <c r="F28" i="38"/>
  <c r="H28" i="38" s="1"/>
  <c r="H21" i="41"/>
  <c r="H24" i="41"/>
  <c r="C17" i="41"/>
  <c r="G8" i="41"/>
  <c r="G22" i="41" s="1"/>
  <c r="C12" i="41"/>
  <c r="F17" i="41"/>
  <c r="H17" i="41" s="1"/>
  <c r="C7" i="41"/>
  <c r="F12" i="41"/>
  <c r="H12" i="41" s="1"/>
  <c r="C11" i="41"/>
  <c r="C8" i="41"/>
  <c r="H21" i="39"/>
  <c r="H22" i="39"/>
  <c r="C12" i="39"/>
  <c r="F17" i="39"/>
  <c r="H17" i="39" s="1"/>
  <c r="C7" i="39"/>
  <c r="F12" i="39"/>
  <c r="H12" i="39" s="1"/>
  <c r="G17" i="39"/>
  <c r="F7" i="39"/>
  <c r="H7" i="39" s="1"/>
  <c r="C11" i="39"/>
  <c r="F11" i="39"/>
  <c r="H11" i="39" s="1"/>
  <c r="C18" i="39"/>
  <c r="H21" i="32"/>
  <c r="H24" i="32" s="1"/>
  <c r="C7" i="32"/>
  <c r="G17" i="32"/>
  <c r="C11" i="32"/>
  <c r="F11" i="32"/>
  <c r="H11" i="32" s="1"/>
  <c r="C18" i="32"/>
  <c r="C13" i="32"/>
  <c r="F18" i="32"/>
  <c r="H18" i="32" s="1"/>
  <c r="C17" i="32"/>
  <c r="H21" i="33"/>
  <c r="C8" i="33"/>
  <c r="F8" i="33"/>
  <c r="H8" i="33" s="1"/>
  <c r="C17" i="33"/>
  <c r="C7" i="33"/>
  <c r="F12" i="33"/>
  <c r="H12" i="33" s="1"/>
  <c r="G17" i="33"/>
  <c r="F11" i="33"/>
  <c r="H11" i="33" s="1"/>
  <c r="C18" i="33"/>
  <c r="C11" i="33"/>
  <c r="G8" i="29"/>
  <c r="G22" i="29" s="1"/>
  <c r="G14" i="29"/>
  <c r="C11" i="29"/>
  <c r="H22" i="29"/>
  <c r="F11" i="29"/>
  <c r="H11" i="29" s="1"/>
  <c r="G7" i="29"/>
  <c r="G21" i="29" s="1"/>
  <c r="C8" i="29"/>
  <c r="F14" i="29"/>
  <c r="H14" i="29" s="1"/>
  <c r="C17" i="29"/>
  <c r="H21" i="29"/>
  <c r="C12" i="29"/>
  <c r="F17" i="29"/>
  <c r="H17" i="29" s="1"/>
  <c r="G13" i="29"/>
  <c r="C7" i="29"/>
  <c r="F12" i="29"/>
  <c r="H12" i="29" s="1"/>
  <c r="C18" i="29"/>
  <c r="C13" i="29"/>
  <c r="F18" i="29"/>
  <c r="H18" i="29" s="1"/>
  <c r="G27" i="13"/>
  <c r="F27" i="13"/>
  <c r="H27" i="13" s="1"/>
  <c r="C26" i="13"/>
  <c r="F26" i="13"/>
  <c r="H26" i="13" s="1"/>
  <c r="C28" i="13"/>
  <c r="C25" i="13"/>
  <c r="F28" i="13"/>
  <c r="H28" i="13" s="1"/>
  <c r="C20" i="13"/>
  <c r="C18" i="13"/>
  <c r="C15" i="13"/>
  <c r="G15" i="13"/>
  <c r="F14" i="13"/>
  <c r="H14" i="13" s="1"/>
  <c r="G17" i="13"/>
  <c r="C19" i="13"/>
  <c r="C17" i="13"/>
  <c r="G14" i="13"/>
  <c r="C16" i="13"/>
  <c r="F19" i="13"/>
  <c r="H19" i="13" s="1"/>
  <c r="F16" i="13"/>
  <c r="H16" i="13" s="1"/>
  <c r="C21" i="13"/>
  <c r="F21" i="13"/>
  <c r="H21" i="13" s="1"/>
  <c r="G8" i="13"/>
  <c r="G32" i="13" s="1"/>
  <c r="C10" i="13"/>
  <c r="F10" i="13"/>
  <c r="H10" i="13" s="1"/>
  <c r="C7" i="13"/>
  <c r="F9" i="13"/>
  <c r="H9" i="13" s="1"/>
  <c r="C9" i="13"/>
  <c r="C11" i="13"/>
  <c r="F7" i="13"/>
  <c r="H7" i="13" s="1"/>
  <c r="H36" i="13" s="1"/>
  <c r="C8" i="13"/>
  <c r="F11" i="13"/>
  <c r="H11" i="13" s="1"/>
  <c r="H32" i="12"/>
  <c r="H33" i="12"/>
  <c r="H25" i="9"/>
  <c r="H25" i="8"/>
  <c r="H24" i="8"/>
  <c r="H23" i="8"/>
  <c r="H24" i="7"/>
  <c r="H23" i="7"/>
  <c r="C27" i="12"/>
  <c r="G27" i="12"/>
  <c r="H31" i="12"/>
  <c r="G16" i="12"/>
  <c r="G24" i="12"/>
  <c r="C26" i="12"/>
  <c r="F24" i="12"/>
  <c r="H24" i="12" s="1"/>
  <c r="F26" i="12"/>
  <c r="H26" i="12" s="1"/>
  <c r="C25" i="12"/>
  <c r="F28" i="12"/>
  <c r="H28" i="12" s="1"/>
  <c r="F18" i="12"/>
  <c r="H18" i="12" s="1"/>
  <c r="F17" i="12"/>
  <c r="H17" i="12" s="1"/>
  <c r="F20" i="12"/>
  <c r="H20" i="12" s="1"/>
  <c r="G20" i="12"/>
  <c r="G15" i="12"/>
  <c r="C18" i="12"/>
  <c r="C19" i="12"/>
  <c r="G14" i="12"/>
  <c r="C16" i="12"/>
  <c r="F19" i="12"/>
  <c r="H19" i="12" s="1"/>
  <c r="F14" i="12"/>
  <c r="H14" i="12" s="1"/>
  <c r="C21" i="12"/>
  <c r="F21" i="12"/>
  <c r="H21" i="12" s="1"/>
  <c r="C15" i="12"/>
  <c r="G9" i="12"/>
  <c r="G33" i="12" s="1"/>
  <c r="C11" i="12"/>
  <c r="F11" i="12"/>
  <c r="H11" i="12" s="1"/>
  <c r="C8" i="12"/>
  <c r="F8" i="12"/>
  <c r="H8" i="12" s="1"/>
  <c r="C10" i="12"/>
  <c r="C7" i="12"/>
  <c r="F10" i="12"/>
  <c r="H10" i="12" s="1"/>
  <c r="F7" i="12"/>
  <c r="H7" i="12" s="1"/>
  <c r="C9" i="12"/>
  <c r="C26" i="38"/>
  <c r="H34" i="38"/>
  <c r="H33" i="38"/>
  <c r="H36" i="38" s="1"/>
  <c r="F18" i="38"/>
  <c r="H18" i="38" s="1"/>
  <c r="F24" i="38"/>
  <c r="H24" i="38" s="1"/>
  <c r="G18" i="38"/>
  <c r="C25" i="38"/>
  <c r="C27" i="38"/>
  <c r="G25" i="38"/>
  <c r="F20" i="38"/>
  <c r="H20" i="38" s="1"/>
  <c r="C28" i="38"/>
  <c r="G27" i="38"/>
  <c r="G26" i="38"/>
  <c r="G21" i="38"/>
  <c r="F21" i="38"/>
  <c r="H21" i="38" s="1"/>
  <c r="G19" i="38"/>
  <c r="C19" i="38"/>
  <c r="C13" i="10"/>
  <c r="F19" i="10"/>
  <c r="H19" i="10" s="1"/>
  <c r="G13" i="10"/>
  <c r="G19" i="10"/>
  <c r="G9" i="10"/>
  <c r="G25" i="10" s="1"/>
  <c r="C19" i="9"/>
  <c r="F12" i="9"/>
  <c r="H12" i="9" s="1"/>
  <c r="F19" i="9"/>
  <c r="H19" i="9" s="1"/>
  <c r="G14" i="9"/>
  <c r="C20" i="9"/>
  <c r="C20" i="8"/>
  <c r="C20" i="7"/>
  <c r="C12" i="7"/>
  <c r="G20" i="7"/>
  <c r="G8" i="7"/>
  <c r="G18" i="7"/>
  <c r="C14" i="6"/>
  <c r="C20" i="6"/>
  <c r="G13" i="6"/>
  <c r="C13" i="6"/>
  <c r="G20" i="6"/>
  <c r="C11" i="38"/>
  <c r="F11" i="38"/>
  <c r="H11" i="38" s="1"/>
  <c r="C10" i="38"/>
  <c r="F10" i="38"/>
  <c r="H10" i="38" s="1"/>
  <c r="C17" i="38"/>
  <c r="F17" i="38"/>
  <c r="H17" i="38" s="1"/>
  <c r="F8" i="38"/>
  <c r="H8" i="38" s="1"/>
  <c r="G8" i="38"/>
  <c r="G32" i="38" s="1"/>
  <c r="F16" i="38"/>
  <c r="H16" i="38" s="1"/>
  <c r="G16" i="38"/>
  <c r="F15" i="38"/>
  <c r="H15" i="38" s="1"/>
  <c r="G15" i="38"/>
  <c r="C14" i="38"/>
  <c r="F14" i="38"/>
  <c r="H14" i="38" s="1"/>
  <c r="C7" i="38"/>
  <c r="G7" i="38"/>
  <c r="G31" i="38" s="1"/>
  <c r="C9" i="38"/>
  <c r="G9" i="38"/>
  <c r="G33" i="38" s="1"/>
  <c r="G7" i="9"/>
  <c r="G23" i="9" s="1"/>
  <c r="C18" i="10"/>
  <c r="F18" i="10"/>
  <c r="H18" i="10" s="1"/>
  <c r="C20" i="10"/>
  <c r="F20" i="10"/>
  <c r="H20" i="10" s="1"/>
  <c r="G12" i="10"/>
  <c r="C14" i="10"/>
  <c r="F14" i="10"/>
  <c r="H14" i="10" s="1"/>
  <c r="F12" i="10"/>
  <c r="H12" i="10" s="1"/>
  <c r="G8" i="10"/>
  <c r="G24" i="10" s="1"/>
  <c r="F7" i="10"/>
  <c r="H7" i="10" s="1"/>
  <c r="C7" i="10"/>
  <c r="C9" i="10"/>
  <c r="F8" i="10"/>
  <c r="H8" i="10" s="1"/>
  <c r="C18" i="9"/>
  <c r="F18" i="9"/>
  <c r="H18" i="9" s="1"/>
  <c r="F20" i="9"/>
  <c r="H20" i="9" s="1"/>
  <c r="F14" i="9"/>
  <c r="H14" i="9" s="1"/>
  <c r="C13" i="9"/>
  <c r="F13" i="9"/>
  <c r="H13" i="9" s="1"/>
  <c r="C15" i="9"/>
  <c r="C12" i="9"/>
  <c r="F15" i="9"/>
  <c r="H15" i="9" s="1"/>
  <c r="F8" i="9"/>
  <c r="H8" i="9" s="1"/>
  <c r="C8" i="9"/>
  <c r="C7" i="9"/>
  <c r="F19" i="8"/>
  <c r="H19" i="8" s="1"/>
  <c r="C18" i="8"/>
  <c r="C19" i="8"/>
  <c r="G13" i="8"/>
  <c r="C15" i="8"/>
  <c r="F15" i="8"/>
  <c r="H15" i="8" s="1"/>
  <c r="G12" i="8"/>
  <c r="C14" i="8"/>
  <c r="F14" i="8"/>
  <c r="H14" i="8" s="1"/>
  <c r="F12" i="8"/>
  <c r="H12" i="8" s="1"/>
  <c r="C13" i="8"/>
  <c r="C9" i="8"/>
  <c r="F9" i="8"/>
  <c r="H9" i="8" s="1"/>
  <c r="G7" i="8"/>
  <c r="G23" i="8" s="1"/>
  <c r="F8" i="8"/>
  <c r="H8" i="8" s="1"/>
  <c r="C8" i="8"/>
  <c r="C7" i="8"/>
  <c r="F19" i="7"/>
  <c r="H19" i="7" s="1"/>
  <c r="C19" i="7"/>
  <c r="C18" i="7"/>
  <c r="F14" i="7"/>
  <c r="H14" i="7" s="1"/>
  <c r="G14" i="7"/>
  <c r="C13" i="7"/>
  <c r="F13" i="7"/>
  <c r="H13" i="7" s="1"/>
  <c r="C15" i="7"/>
  <c r="F15" i="7"/>
  <c r="H15" i="7" s="1"/>
  <c r="F12" i="7"/>
  <c r="H12" i="7" s="1"/>
  <c r="F7" i="7"/>
  <c r="H7" i="7" s="1"/>
  <c r="G7" i="7"/>
  <c r="C9" i="7"/>
  <c r="F9" i="7"/>
  <c r="H9" i="7" s="1"/>
  <c r="C15" i="6"/>
  <c r="F8" i="6"/>
  <c r="H8" i="6" s="1"/>
  <c r="G15" i="6"/>
  <c r="F9" i="6"/>
  <c r="H9" i="6" s="1"/>
  <c r="G14" i="6"/>
  <c r="C18" i="19"/>
  <c r="G18" i="19"/>
  <c r="C19" i="19"/>
  <c r="G19" i="19"/>
  <c r="F19" i="6"/>
  <c r="H19" i="6" s="1"/>
  <c r="C18" i="5"/>
  <c r="F18" i="5"/>
  <c r="H18" i="5" s="1"/>
  <c r="F18" i="6"/>
  <c r="H18" i="6" s="1"/>
  <c r="C18" i="6"/>
  <c r="G15" i="5"/>
  <c r="G16" i="5"/>
  <c r="C19" i="6"/>
  <c r="G17" i="5"/>
  <c r="F12" i="6"/>
  <c r="H12" i="6" s="1"/>
  <c r="G12" i="6"/>
  <c r="C7" i="6"/>
  <c r="F7" i="6"/>
  <c r="H7" i="6" s="1"/>
  <c r="G9" i="6"/>
  <c r="G8" i="6"/>
  <c r="C17" i="5"/>
  <c r="F16" i="5"/>
  <c r="H16" i="5" s="1"/>
  <c r="C15" i="5"/>
  <c r="E20" i="34"/>
  <c r="E24" i="34"/>
  <c r="E23" i="34"/>
  <c r="E22" i="34"/>
  <c r="E21" i="34"/>
  <c r="F13" i="19"/>
  <c r="F12" i="19"/>
  <c r="C13" i="19"/>
  <c r="C12" i="19"/>
  <c r="A15" i="19"/>
  <c r="G15" i="19" s="1"/>
  <c r="A14" i="19"/>
  <c r="G14" i="19" s="1"/>
  <c r="A9" i="19"/>
  <c r="A8" i="19"/>
  <c r="A7" i="19"/>
  <c r="F17" i="1"/>
  <c r="F14" i="1"/>
  <c r="F9" i="1"/>
  <c r="F8" i="1"/>
  <c r="F7" i="1"/>
  <c r="F6" i="1"/>
  <c r="F5" i="1"/>
  <c r="F2" i="1"/>
  <c r="D2" i="1"/>
  <c r="D17" i="1"/>
  <c r="D14" i="1"/>
  <c r="D9" i="1"/>
  <c r="D8" i="1"/>
  <c r="D7" i="1"/>
  <c r="D6" i="1"/>
  <c r="D5" i="1"/>
  <c r="H19" i="19"/>
  <c r="H18" i="19"/>
  <c r="H26" i="19" s="1"/>
  <c r="H17" i="5"/>
  <c r="H15" i="5"/>
  <c r="H12" i="5"/>
  <c r="H11" i="5"/>
  <c r="H10" i="5"/>
  <c r="H20" i="6"/>
  <c r="H15" i="6"/>
  <c r="H14" i="6"/>
  <c r="H24" i="29" l="1"/>
  <c r="H30" i="29" s="1"/>
  <c r="H27" i="41"/>
  <c r="H34" i="41"/>
  <c r="H26" i="41"/>
  <c r="H33" i="41"/>
  <c r="H31" i="41"/>
  <c r="H32" i="41"/>
  <c r="H30" i="41"/>
  <c r="H29" i="41"/>
  <c r="H28" i="41"/>
  <c r="H24" i="39"/>
  <c r="H29" i="32"/>
  <c r="H28" i="32"/>
  <c r="H27" i="32"/>
  <c r="H34" i="32"/>
  <c r="H26" i="32"/>
  <c r="H33" i="32"/>
  <c r="H32" i="32"/>
  <c r="H31" i="32"/>
  <c r="H30" i="32"/>
  <c r="H24" i="33"/>
  <c r="H29" i="33" s="1"/>
  <c r="H44" i="13"/>
  <c r="H27" i="8"/>
  <c r="H34" i="8" s="1"/>
  <c r="H27" i="7"/>
  <c r="H36" i="12"/>
  <c r="H38" i="12" s="1"/>
  <c r="H27" i="6"/>
  <c r="H37" i="6" s="1"/>
  <c r="H27" i="9"/>
  <c r="H34" i="9" s="1"/>
  <c r="H27" i="10"/>
  <c r="C15" i="19"/>
  <c r="C7" i="19"/>
  <c r="G7" i="19"/>
  <c r="F8" i="19"/>
  <c r="H8" i="19" s="1"/>
  <c r="G8" i="19"/>
  <c r="C9" i="19"/>
  <c r="G9" i="19"/>
  <c r="F14" i="19"/>
  <c r="H14" i="19" s="1"/>
  <c r="F15" i="19"/>
  <c r="H15" i="19" s="1"/>
  <c r="F9" i="19"/>
  <c r="H9" i="19" s="1"/>
  <c r="C8" i="19"/>
  <c r="F7" i="19"/>
  <c r="H7" i="19" s="1"/>
  <c r="H13" i="19"/>
  <c r="C14" i="19"/>
  <c r="H12" i="19"/>
  <c r="H20" i="5"/>
  <c r="H30" i="5" s="1"/>
  <c r="H27" i="29" l="1"/>
  <c r="H29" i="29"/>
  <c r="H34" i="29"/>
  <c r="H33" i="29"/>
  <c r="H28" i="29"/>
  <c r="H31" i="29"/>
  <c r="H26" i="29"/>
  <c r="H32" i="29"/>
  <c r="H36" i="41"/>
  <c r="H38" i="41" s="1"/>
  <c r="H40" i="41" s="1"/>
  <c r="E30" i="1" s="1"/>
  <c r="H28" i="39"/>
  <c r="H27" i="39"/>
  <c r="H34" i="39"/>
  <c r="H26" i="39"/>
  <c r="H33" i="39"/>
  <c r="H31" i="39"/>
  <c r="H32" i="39"/>
  <c r="H30" i="39"/>
  <c r="H29" i="39"/>
  <c r="H36" i="32"/>
  <c r="H38" i="32" s="1"/>
  <c r="H40" i="32" s="1"/>
  <c r="E32" i="1" s="1"/>
  <c r="H33" i="33"/>
  <c r="H34" i="33"/>
  <c r="H28" i="33"/>
  <c r="H32" i="33"/>
  <c r="H31" i="33"/>
  <c r="H26" i="33"/>
  <c r="H27" i="33"/>
  <c r="H30" i="33"/>
  <c r="H43" i="38"/>
  <c r="H40" i="38"/>
  <c r="H45" i="38"/>
  <c r="H38" i="38"/>
  <c r="H46" i="38"/>
  <c r="H39" i="38"/>
  <c r="H44" i="38"/>
  <c r="H42" i="38"/>
  <c r="H41" i="38"/>
  <c r="H37" i="9"/>
  <c r="H35" i="9"/>
  <c r="H31" i="8"/>
  <c r="H35" i="8"/>
  <c r="H33" i="8"/>
  <c r="H36" i="8"/>
  <c r="H37" i="8"/>
  <c r="H29" i="19"/>
  <c r="H22" i="5"/>
  <c r="H25" i="5"/>
  <c r="H24" i="5"/>
  <c r="H26" i="5"/>
  <c r="H23" i="5"/>
  <c r="H27" i="5"/>
  <c r="H28" i="5"/>
  <c r="H29" i="5"/>
  <c r="H42" i="13"/>
  <c r="H45" i="13"/>
  <c r="H40" i="13"/>
  <c r="H46" i="13"/>
  <c r="H39" i="13"/>
  <c r="H38" i="13"/>
  <c r="H43" i="13"/>
  <c r="H41" i="13"/>
  <c r="H40" i="12"/>
  <c r="H42" i="12"/>
  <c r="H45" i="12"/>
  <c r="H44" i="12"/>
  <c r="H41" i="12"/>
  <c r="H46" i="12"/>
  <c r="H43" i="12"/>
  <c r="H39" i="12"/>
  <c r="H29" i="10"/>
  <c r="H30" i="10"/>
  <c r="H33" i="10"/>
  <c r="H35" i="10"/>
  <c r="H37" i="10"/>
  <c r="H31" i="10"/>
  <c r="H32" i="10"/>
  <c r="H34" i="10"/>
  <c r="H36" i="10"/>
  <c r="H30" i="9"/>
  <c r="H32" i="9"/>
  <c r="H33" i="9"/>
  <c r="H31" i="9"/>
  <c r="H36" i="9"/>
  <c r="H29" i="9"/>
  <c r="H29" i="8"/>
  <c r="H32" i="8"/>
  <c r="H30" i="8"/>
  <c r="H31" i="7"/>
  <c r="H32" i="7"/>
  <c r="H34" i="7"/>
  <c r="H35" i="7"/>
  <c r="H37" i="7"/>
  <c r="H30" i="7"/>
  <c r="H29" i="7"/>
  <c r="H36" i="7"/>
  <c r="H33" i="7"/>
  <c r="H33" i="6"/>
  <c r="H34" i="6"/>
  <c r="H35" i="6"/>
  <c r="H36" i="6"/>
  <c r="H31" i="6"/>
  <c r="H32" i="6"/>
  <c r="H29" i="6"/>
  <c r="H30" i="6"/>
  <c r="H36" i="29" l="1"/>
  <c r="H38" i="29" s="1"/>
  <c r="H40" i="29" s="1"/>
  <c r="E29" i="1" s="1"/>
  <c r="H36" i="39"/>
  <c r="H38" i="39" s="1"/>
  <c r="H40" i="39" s="1"/>
  <c r="E31" i="1" s="1"/>
  <c r="H36" i="33"/>
  <c r="H38" i="33" s="1"/>
  <c r="H40" i="33" s="1"/>
  <c r="E33" i="1" s="1"/>
  <c r="H48" i="38"/>
  <c r="H50" i="38" s="1"/>
  <c r="H52" i="38" s="1"/>
  <c r="E12" i="1" s="1"/>
  <c r="H39" i="8"/>
  <c r="H41" i="8" s="1"/>
  <c r="H43" i="8" s="1"/>
  <c r="E7" i="1" s="1"/>
  <c r="H39" i="10"/>
  <c r="H41" i="10" s="1"/>
  <c r="H43" i="10" s="1"/>
  <c r="E9" i="1" s="1"/>
  <c r="H39" i="9"/>
  <c r="H41" i="9" s="1"/>
  <c r="H43" i="9" s="1"/>
  <c r="E8" i="1" s="1"/>
  <c r="H39" i="7"/>
  <c r="H41" i="7" s="1"/>
  <c r="H43" i="7" s="1"/>
  <c r="E6" i="1" s="1"/>
  <c r="H48" i="13"/>
  <c r="H50" i="13" s="1"/>
  <c r="H52" i="13" s="1"/>
  <c r="E14" i="1" s="1"/>
  <c r="H33" i="19"/>
  <c r="H32" i="19"/>
  <c r="H31" i="19"/>
  <c r="H36" i="19"/>
  <c r="H30" i="19"/>
  <c r="H35" i="19"/>
  <c r="H32" i="5"/>
  <c r="H34" i="5" s="1"/>
  <c r="H36" i="5" s="1"/>
  <c r="E2" i="1" s="1"/>
  <c r="H34" i="19"/>
  <c r="H28" i="19"/>
  <c r="H48" i="12"/>
  <c r="H50" i="12" s="1"/>
  <c r="H52" i="12" s="1"/>
  <c r="E13" i="1" s="1"/>
  <c r="H39" i="6"/>
  <c r="H41" i="6" s="1"/>
  <c r="H43" i="6" s="1"/>
  <c r="E5" i="1" s="1"/>
  <c r="H38" i="19" l="1"/>
  <c r="H40" i="19" s="1"/>
  <c r="H42" i="19" s="1"/>
  <c r="E17" i="1" s="1"/>
</calcChain>
</file>

<file path=xl/sharedStrings.xml><?xml version="1.0" encoding="utf-8"?>
<sst xmlns="http://schemas.openxmlformats.org/spreadsheetml/2006/main" count="1811" uniqueCount="823">
  <si>
    <t>Earth Work</t>
  </si>
  <si>
    <t>PCC Work</t>
  </si>
  <si>
    <t>RCC Work</t>
  </si>
  <si>
    <t>Masonry Work</t>
  </si>
  <si>
    <t>Plastering Work</t>
  </si>
  <si>
    <t>Flooring Work</t>
  </si>
  <si>
    <t>Marble</t>
  </si>
  <si>
    <t>Granite</t>
  </si>
  <si>
    <t>Tile</t>
  </si>
  <si>
    <t>Fabrication Work</t>
  </si>
  <si>
    <t>SS</t>
  </si>
  <si>
    <t>MS</t>
  </si>
  <si>
    <t>Aluminium</t>
  </si>
  <si>
    <t>Painting Work</t>
  </si>
  <si>
    <t>Work Item Code</t>
  </si>
  <si>
    <t>Package</t>
  </si>
  <si>
    <t>Sub-Package</t>
  </si>
  <si>
    <t>Material</t>
  </si>
  <si>
    <t>Unit</t>
  </si>
  <si>
    <t>Unique_Code</t>
  </si>
  <si>
    <t>Nos.</t>
  </si>
  <si>
    <t>Cement</t>
  </si>
  <si>
    <t>Mason</t>
  </si>
  <si>
    <t>Quantity</t>
  </si>
  <si>
    <t>Water Charges @</t>
  </si>
  <si>
    <t>Electrical Charges @</t>
  </si>
  <si>
    <t>Local Liaisoning &amp; Dispute @</t>
  </si>
  <si>
    <t>Supervision Charges @</t>
  </si>
  <si>
    <t>Engineering &amp; Testing Charges @</t>
  </si>
  <si>
    <t>Site Establishment @</t>
  </si>
  <si>
    <t>Insurance (Labour &amp; Equipments) @</t>
  </si>
  <si>
    <t>Contingency, Safety Compliance &amp; Overhead Charges @</t>
  </si>
  <si>
    <t>Profit @</t>
  </si>
  <si>
    <t>Description</t>
  </si>
  <si>
    <t>Amount</t>
  </si>
  <si>
    <t>Remark</t>
  </si>
  <si>
    <t>Total - A</t>
  </si>
  <si>
    <t>Total - B</t>
  </si>
  <si>
    <t>Labour</t>
  </si>
  <si>
    <t>Equipment</t>
  </si>
  <si>
    <t>Cu.M</t>
  </si>
  <si>
    <t>Rate Analysis for</t>
  </si>
  <si>
    <t>Rate for 1Cu.M</t>
  </si>
  <si>
    <t>Scaffolding</t>
  </si>
  <si>
    <t>Male Coolie</t>
  </si>
  <si>
    <t>Female Coolie</t>
  </si>
  <si>
    <t>Per</t>
  </si>
  <si>
    <t>Day</t>
  </si>
  <si>
    <t>LS</t>
  </si>
  <si>
    <t>Rate</t>
  </si>
  <si>
    <t>Work Item</t>
  </si>
  <si>
    <t>UPVC</t>
  </si>
  <si>
    <t>A</t>
  </si>
  <si>
    <t>B</t>
  </si>
  <si>
    <t>B1</t>
  </si>
  <si>
    <t>B2</t>
  </si>
  <si>
    <t>B3</t>
  </si>
  <si>
    <t>B4</t>
  </si>
  <si>
    <t>B5</t>
  </si>
  <si>
    <t>C</t>
  </si>
  <si>
    <t>C1</t>
  </si>
  <si>
    <t>C2</t>
  </si>
  <si>
    <t>C3</t>
  </si>
  <si>
    <t>D</t>
  </si>
  <si>
    <t>D1</t>
  </si>
  <si>
    <t>D2</t>
  </si>
  <si>
    <t>D3</t>
  </si>
  <si>
    <t>Burnt Brick (230mm X 115mm X 75mm)</t>
  </si>
  <si>
    <t>Cement Block (200mm X 200mm X 400mm)</t>
  </si>
  <si>
    <t>Cement Block (150mm X 200mm X 400mm)</t>
  </si>
  <si>
    <t>Cement Block (100mm X 200mm X 400mm)</t>
  </si>
  <si>
    <t>AAC Block (600mm X 200mm X 200mm)</t>
  </si>
  <si>
    <t>AAC Block (600mm X 200mm X 150mm)</t>
  </si>
  <si>
    <t>AAC Block (600mm X 200mm X 100mm)</t>
  </si>
  <si>
    <t>Flyash Block (600mm X 200mm X 100mm)</t>
  </si>
  <si>
    <t>Flyash Block (400mm X 200mm X 200mm)</t>
  </si>
  <si>
    <t>Flyash Block (230mm X 110mm X 70mm)</t>
  </si>
  <si>
    <t>E</t>
  </si>
  <si>
    <t>E1</t>
  </si>
  <si>
    <t>E2</t>
  </si>
  <si>
    <t>E3</t>
  </si>
  <si>
    <t>E4</t>
  </si>
  <si>
    <t>E5</t>
  </si>
  <si>
    <t>F</t>
  </si>
  <si>
    <t>F1</t>
  </si>
  <si>
    <t>F2</t>
  </si>
  <si>
    <t>F3</t>
  </si>
  <si>
    <t>G</t>
  </si>
  <si>
    <t>G1</t>
  </si>
  <si>
    <t>G2</t>
  </si>
  <si>
    <t>G3</t>
  </si>
  <si>
    <t>H</t>
  </si>
  <si>
    <t>H1</t>
  </si>
  <si>
    <t>H2</t>
  </si>
  <si>
    <t>I</t>
  </si>
  <si>
    <t>Doors</t>
  </si>
  <si>
    <t>Windows</t>
  </si>
  <si>
    <t>I1</t>
  </si>
  <si>
    <t>I2</t>
  </si>
  <si>
    <t>PCC - M5</t>
  </si>
  <si>
    <t>PCC - M7.5</t>
  </si>
  <si>
    <t>PCC - M10</t>
  </si>
  <si>
    <t>PCC - M15</t>
  </si>
  <si>
    <t>PCC - M20</t>
  </si>
  <si>
    <t>RCC - M25</t>
  </si>
  <si>
    <t>RCC - M30</t>
  </si>
  <si>
    <t>Coarse Aggregate</t>
  </si>
  <si>
    <t>Fine Aggragete</t>
  </si>
  <si>
    <t>Item</t>
  </si>
  <si>
    <t>Concrete Mixer</t>
  </si>
  <si>
    <t>Vibrator</t>
  </si>
  <si>
    <t>Formwork</t>
  </si>
  <si>
    <t>Shuttering</t>
  </si>
  <si>
    <t>M-0001</t>
  </si>
  <si>
    <t>MT</t>
  </si>
  <si>
    <t>M-0125</t>
  </si>
  <si>
    <t>M-0002</t>
  </si>
  <si>
    <t>M-0086</t>
  </si>
  <si>
    <t>HBGS Jelly 40mm size</t>
  </si>
  <si>
    <t>Mazdoor Category-I</t>
  </si>
  <si>
    <t>Mazdoor Category-II</t>
  </si>
  <si>
    <t>L-0029</t>
  </si>
  <si>
    <t>L-0073</t>
  </si>
  <si>
    <t>L-0098</t>
  </si>
  <si>
    <t>L-0094</t>
  </si>
  <si>
    <t>Mixer Operator (including concrete mixer)</t>
  </si>
  <si>
    <t>PCC M5 (1:5:10)</t>
  </si>
  <si>
    <t>PCC M7.5 (1:4:8)</t>
  </si>
  <si>
    <t>PCC M10 (1:3:6)</t>
  </si>
  <si>
    <t>PCC M15 (1:2:4)</t>
  </si>
  <si>
    <t>PCC M20 (1:1.5:3)</t>
  </si>
  <si>
    <t>RCC M25 (1:1:2)</t>
  </si>
  <si>
    <t>RCC M30 (1:0.75:1.5)</t>
  </si>
  <si>
    <t>L-0096</t>
  </si>
  <si>
    <t>Heavy Mazdoor</t>
  </si>
  <si>
    <t>HBGS Jelly 20mm size</t>
  </si>
  <si>
    <t>M-0088</t>
  </si>
  <si>
    <t>Earthwork</t>
  </si>
  <si>
    <t>Earthworker</t>
  </si>
  <si>
    <t>Excavator</t>
  </si>
  <si>
    <t>Tools and Tackles</t>
  </si>
  <si>
    <t>M-0188</t>
  </si>
  <si>
    <t>Binding Wire</t>
  </si>
  <si>
    <t>Kg</t>
  </si>
  <si>
    <t>L-0019</t>
  </si>
  <si>
    <t>Fine Aggregate</t>
  </si>
  <si>
    <t>Brick (500 bricks per Cu.M)</t>
  </si>
  <si>
    <t>Cement (13.5 bags or 0.45 Cu.M)</t>
  </si>
  <si>
    <t>Mistri (Head Mason)</t>
  </si>
  <si>
    <t>Rate for 10Cu.M</t>
  </si>
  <si>
    <t>Masonry Burnt Brick (230mm X 115mm X 75mm) with 1:6 CM mortar</t>
  </si>
  <si>
    <t>D4</t>
  </si>
  <si>
    <t>D5</t>
  </si>
  <si>
    <t>D6</t>
  </si>
  <si>
    <t>D7</t>
  </si>
  <si>
    <t>D8</t>
  </si>
  <si>
    <t>D9</t>
  </si>
  <si>
    <t>D10</t>
  </si>
  <si>
    <t>I3</t>
  </si>
  <si>
    <t>Plastering Mix 1:2 CM</t>
  </si>
  <si>
    <t>Plastering Mix 1:3 CM</t>
  </si>
  <si>
    <t>Plastering Mix 1:4 CM</t>
  </si>
  <si>
    <t>Plastering Mix 1:5 CM</t>
  </si>
  <si>
    <t>Plastering Mix 1:6 CM</t>
  </si>
  <si>
    <t>Internal Wall Painting</t>
  </si>
  <si>
    <t>Ceiling Painting</t>
  </si>
  <si>
    <t>External Wall Painting</t>
  </si>
  <si>
    <t>Rate for 100Cu.M</t>
  </si>
  <si>
    <t>Steel</t>
  </si>
  <si>
    <t xml:space="preserve">    </t>
  </si>
  <si>
    <t>Incidental Charges</t>
  </si>
  <si>
    <t>Above 80 Km</t>
  </si>
  <si>
    <t>From 0 to 10 Km</t>
  </si>
  <si>
    <t>From 10 to 20 Km</t>
  </si>
  <si>
    <t>From 20 to 40 Km</t>
  </si>
  <si>
    <t>From 40 to 80 Km</t>
  </si>
  <si>
    <t>Transport Distance Charges</t>
  </si>
  <si>
    <t>Distance
(Km)</t>
  </si>
  <si>
    <t>Lift Charges</t>
  </si>
  <si>
    <t>Total Charges</t>
  </si>
  <si>
    <t>Lead &amp; Lift Charges</t>
  </si>
  <si>
    <t>Base_Rate</t>
  </si>
  <si>
    <t>HIGHLY SKILLED CATEGORY</t>
  </si>
  <si>
    <t>L-0001</t>
  </si>
  <si>
    <t>Technical Assistant Grade-I (B.E.Passed)</t>
  </si>
  <si>
    <t>L-0002</t>
  </si>
  <si>
    <t>Technical Assistant Grade-II (Diploma in Engg. Passed / B.E. Failed / Degree in Geology for Ground Water Works)</t>
  </si>
  <si>
    <t>L-0003</t>
  </si>
  <si>
    <t>Technical Assistant Grade-III (Diploma in Engg. Failed / ITI (Civil) Passed)</t>
  </si>
  <si>
    <t>L-0004</t>
  </si>
  <si>
    <t>Cinema Operator (ITI Passed)</t>
  </si>
  <si>
    <t>L-0009</t>
  </si>
  <si>
    <t>Computer Operator Grade-I [B.E. (Computer Science) / M.Sc., (Computer Science)]</t>
  </si>
  <si>
    <t>L-0010</t>
  </si>
  <si>
    <t>Computer Operator Grade-II [B.Sc. (Computer Science) / Diploma in Computer Science]</t>
  </si>
  <si>
    <t>L-0013</t>
  </si>
  <si>
    <t>Wireman Grade-I / Electrician Grade-I</t>
  </si>
  <si>
    <t>L-0130</t>
  </si>
  <si>
    <t>Architect Assistant - Grade I (B.Arch Passed)</t>
  </si>
  <si>
    <t>L-0131</t>
  </si>
  <si>
    <t>Conservation  Architect  Assistant  -  Grade  I  (B.Arch Passed)</t>
  </si>
  <si>
    <t>II</t>
  </si>
  <si>
    <t>SKILLED CATEGORY</t>
  </si>
  <si>
    <t>L-0014</t>
  </si>
  <si>
    <t>Blacksmith-I Class</t>
  </si>
  <si>
    <t>L-0016</t>
  </si>
  <si>
    <t>Carpenter-I Class</t>
  </si>
  <si>
    <t>L-0017</t>
  </si>
  <si>
    <t>Cleaner-First Grade</t>
  </si>
  <si>
    <t>L-0018</t>
  </si>
  <si>
    <t>Fitter-I Class</t>
  </si>
  <si>
    <t>Fitter (Pipe Laying / Bar Bending)-I Class</t>
  </si>
  <si>
    <t>L-0020</t>
  </si>
  <si>
    <t>Floor Polisher</t>
  </si>
  <si>
    <t>L-0021</t>
  </si>
  <si>
    <t>Hammer Mazdoor</t>
  </si>
  <si>
    <t>L-0023</t>
  </si>
  <si>
    <t>Driver (Light Duty)</t>
  </si>
  <si>
    <t>L-0024</t>
  </si>
  <si>
    <t>Driver (Heavy Duty)</t>
  </si>
  <si>
    <t>L-0025</t>
  </si>
  <si>
    <t>Maistry, Road Inspector &amp; Work Inspector</t>
  </si>
  <si>
    <t>L-0026</t>
  </si>
  <si>
    <t>Maistry,  Road  Inspector  &amp;  Work  Inspector  (Degree Holder)</t>
  </si>
  <si>
    <t>L-0027</t>
  </si>
  <si>
    <t>Skilled Mason Class-I for Heritage Work</t>
  </si>
  <si>
    <t>L-0028</t>
  </si>
  <si>
    <t>Skilled Mason Class-II for Heritage Work</t>
  </si>
  <si>
    <t>Mason for Brick Work-I Class</t>
  </si>
  <si>
    <t>L-0030</t>
  </si>
  <si>
    <t>Skilled Sthapathy Brick Mason for Heritage Work</t>
  </si>
  <si>
    <t>L-0031</t>
  </si>
  <si>
    <t>Mason for Stone Work-I Class</t>
  </si>
  <si>
    <t>L-0032</t>
  </si>
  <si>
    <t>Skilled Sthapathy Stone Mason for Heritage Work</t>
  </si>
  <si>
    <t>L-0033</t>
  </si>
  <si>
    <t>Mechanic-I Class</t>
  </si>
  <si>
    <t>L-0036</t>
  </si>
  <si>
    <t>Painter / Varnisher-I Class</t>
  </si>
  <si>
    <t>L-0037</t>
  </si>
  <si>
    <t>Pile Driver</t>
  </si>
  <si>
    <t>L-0038</t>
  </si>
  <si>
    <t>Plumber-I Class</t>
  </si>
  <si>
    <t>L-0039</t>
  </si>
  <si>
    <t>Sawyer</t>
  </si>
  <si>
    <t>L-0040</t>
  </si>
  <si>
    <t>Smith-I Class</t>
  </si>
  <si>
    <t>L-0041</t>
  </si>
  <si>
    <t>Stone Cutter-I Class</t>
  </si>
  <si>
    <t>L-0042</t>
  </si>
  <si>
    <t>Syrang-I Class</t>
  </si>
  <si>
    <t>L-0043</t>
  </si>
  <si>
    <t>Tinker-I Class</t>
  </si>
  <si>
    <t>L-0044</t>
  </si>
  <si>
    <t>Turner-I Class</t>
  </si>
  <si>
    <t>L-0045</t>
  </si>
  <si>
    <t>Time Keeper-I Class</t>
  </si>
  <si>
    <t>L-0046</t>
  </si>
  <si>
    <t>Welder / Bracer-I Class</t>
  </si>
  <si>
    <t>L-0050</t>
  </si>
  <si>
    <t>Wodder</t>
  </si>
  <si>
    <t>L-0051</t>
  </si>
  <si>
    <t>Compressor Operator</t>
  </si>
  <si>
    <t>L-0053</t>
  </si>
  <si>
    <t>Stone &amp; Crusher Operator</t>
  </si>
  <si>
    <t>L-0054</t>
  </si>
  <si>
    <t>Wireman Grade-II / Electrician Grade-II</t>
  </si>
  <si>
    <t>L-0055</t>
  </si>
  <si>
    <t>Lift Operator</t>
  </si>
  <si>
    <t>L-0056</t>
  </si>
  <si>
    <t>Laboratory Attendant</t>
  </si>
  <si>
    <t>L-0057</t>
  </si>
  <si>
    <t>Sound Service Operator</t>
  </si>
  <si>
    <t>L-0058</t>
  </si>
  <si>
    <t>Electrical Maistry</t>
  </si>
  <si>
    <t>III</t>
  </si>
  <si>
    <t>SEMI SKILLED CATEGORY</t>
  </si>
  <si>
    <t>L-0059</t>
  </si>
  <si>
    <t>Axe Mazdoor</t>
  </si>
  <si>
    <t>L-0060</t>
  </si>
  <si>
    <t>Blacksmith-II Class</t>
  </si>
  <si>
    <t>L-0061</t>
  </si>
  <si>
    <t>Bullocks Pair with Driver (with Bandy)</t>
  </si>
  <si>
    <t>L-0062</t>
  </si>
  <si>
    <t>Bullocks Single with Driver (with Bandy)</t>
  </si>
  <si>
    <t>L-0063</t>
  </si>
  <si>
    <t>Carpenter-II Class</t>
  </si>
  <si>
    <t>L-0065</t>
  </si>
  <si>
    <t>Cleaner-Second Grade</t>
  </si>
  <si>
    <t>L-0067</t>
  </si>
  <si>
    <t>Fitter-II Class</t>
  </si>
  <si>
    <t>L-0068</t>
  </si>
  <si>
    <t>Fitter (Pipe Laying / Bar Bending)-II Class</t>
  </si>
  <si>
    <t>L-0069</t>
  </si>
  <si>
    <t>Gardener</t>
  </si>
  <si>
    <t>L-0070</t>
  </si>
  <si>
    <t>Jumper Mazdoor</t>
  </si>
  <si>
    <t>L-0071</t>
  </si>
  <si>
    <t>Mason for Brick Work-II Class</t>
  </si>
  <si>
    <t>L-0072</t>
  </si>
  <si>
    <t>Mason for Stone Work-II Class</t>
  </si>
  <si>
    <t>L-0074</t>
  </si>
  <si>
    <t>Head Mazdoor</t>
  </si>
  <si>
    <t>L-0075</t>
  </si>
  <si>
    <t>Mechanic-II Class</t>
  </si>
  <si>
    <t>L-0077</t>
  </si>
  <si>
    <t>Painter / Varnisher-II Class</t>
  </si>
  <si>
    <t>L-0078</t>
  </si>
  <si>
    <t>Plumber-II Class</t>
  </si>
  <si>
    <t>L-0079</t>
  </si>
  <si>
    <t>Pump Driver</t>
  </si>
  <si>
    <t>L-0080</t>
  </si>
  <si>
    <t>Smith-II Class</t>
  </si>
  <si>
    <t>L-0081</t>
  </si>
  <si>
    <t>Stone Cutter-II Class</t>
  </si>
  <si>
    <t>L-0082</t>
  </si>
  <si>
    <t>Syrang-II Class</t>
  </si>
  <si>
    <t>L-0083</t>
  </si>
  <si>
    <t>Thatcher</t>
  </si>
  <si>
    <t>L-0084</t>
  </si>
  <si>
    <t>Tinker-II Class</t>
  </si>
  <si>
    <t>L-0085</t>
  </si>
  <si>
    <t>Turner-II Class</t>
  </si>
  <si>
    <t>L-0086</t>
  </si>
  <si>
    <t>Time Keeper-II Class</t>
  </si>
  <si>
    <t>L-0087</t>
  </si>
  <si>
    <t>Welder / Bracer-II Class</t>
  </si>
  <si>
    <t>L-0091</t>
  </si>
  <si>
    <t>Mazdoor employed for Pitting, Trenching, Sampling &amp; Drilling works</t>
  </si>
  <si>
    <t>L-0092</t>
  </si>
  <si>
    <t>Mazdoor employed for Geophysical investigation works</t>
  </si>
  <si>
    <t>L-0093</t>
  </si>
  <si>
    <t>Head Mazdoor to supervise exploratory works</t>
  </si>
  <si>
    <t>L-0095</t>
  </si>
  <si>
    <t>Mixer Driver</t>
  </si>
  <si>
    <t>L-0097</t>
  </si>
  <si>
    <t>Electrical Helper</t>
  </si>
  <si>
    <t>IV</t>
  </si>
  <si>
    <t>UN-SKILLED CATEGORY</t>
  </si>
  <si>
    <t>A. BRICKS AND TILE PRODUCTS</t>
  </si>
  <si>
    <t>Second Class Table Moulded Chamber Burnt Bricks</t>
  </si>
  <si>
    <t>M-0003</t>
  </si>
  <si>
    <t>1000 Nos.</t>
  </si>
  <si>
    <t>M-0004</t>
  </si>
  <si>
    <t>Second Class Ground Moulded Chamber Burnt Bricks</t>
  </si>
  <si>
    <t>M-0005</t>
  </si>
  <si>
    <t>M-0006</t>
  </si>
  <si>
    <t>Third Class Country Brick Kiln Burnt</t>
  </si>
  <si>
    <t>M-0007</t>
  </si>
  <si>
    <t>M-0008</t>
  </si>
  <si>
    <t>M-0009</t>
  </si>
  <si>
    <r>
      <t>8</t>
    </r>
    <r>
      <rPr>
        <vertAlign val="superscript"/>
        <sz val="4"/>
        <color rgb="FF1A1718"/>
        <rFont val="Arial"/>
        <family val="2"/>
      </rPr>
      <t>3</t>
    </r>
    <r>
      <rPr>
        <sz val="10"/>
        <color rgb="FF1A1718"/>
        <rFont val="Arial"/>
        <family val="2"/>
      </rPr>
      <t>/</t>
    </r>
    <r>
      <rPr>
        <vertAlign val="subscript"/>
        <sz val="4"/>
        <color rgb="FF1A1718"/>
        <rFont val="Arial"/>
        <family val="2"/>
      </rPr>
      <t xml:space="preserve">4  </t>
    </r>
    <r>
      <rPr>
        <sz val="10"/>
        <color rgb="FF1A1718"/>
        <rFont val="Arial"/>
        <family val="2"/>
      </rPr>
      <t>x 4</t>
    </r>
    <r>
      <rPr>
        <vertAlign val="superscript"/>
        <sz val="4"/>
        <color rgb="FF1A1718"/>
        <rFont val="Arial"/>
        <family val="2"/>
      </rPr>
      <t>1</t>
    </r>
    <r>
      <rPr>
        <sz val="10"/>
        <color rgb="FF1A1718"/>
        <rFont val="Arial"/>
        <family val="2"/>
      </rPr>
      <t>/</t>
    </r>
    <r>
      <rPr>
        <vertAlign val="subscript"/>
        <sz val="4"/>
        <color rgb="FF1A1718"/>
        <rFont val="Arial"/>
        <family val="2"/>
      </rPr>
      <t xml:space="preserve">4  </t>
    </r>
    <r>
      <rPr>
        <sz val="10"/>
        <color rgb="FF1A1718"/>
        <rFont val="Arial"/>
        <family val="2"/>
      </rPr>
      <t>x 2</t>
    </r>
  </si>
  <si>
    <t>Fly Ash Bricks</t>
  </si>
  <si>
    <t>M-0010</t>
  </si>
  <si>
    <t>M-0011</t>
  </si>
  <si>
    <t>Specially Moulded Country Brick for well steining</t>
  </si>
  <si>
    <t>M-0012</t>
  </si>
  <si>
    <t>M-0013</t>
  </si>
  <si>
    <t>Perforated Bricks 19 x 9 x 9cm</t>
  </si>
  <si>
    <t>M-0014</t>
  </si>
  <si>
    <t>Terrace Bricks 15 x 7.5 x 2.5cm</t>
  </si>
  <si>
    <t>M-0015</t>
  </si>
  <si>
    <t>Special Bricks 8 x 4 x 2 for Heritage Works</t>
  </si>
  <si>
    <t>M-0016</t>
  </si>
  <si>
    <t>Terrace Bricks 6 x 3 x 1 for Heritage Works</t>
  </si>
  <si>
    <t>Wire Cut Bricks for Heritage Works</t>
  </si>
  <si>
    <t>M-0017</t>
  </si>
  <si>
    <t>M-0018</t>
  </si>
  <si>
    <t>M-0019</t>
  </si>
  <si>
    <t>Flat Tiles</t>
  </si>
  <si>
    <t>M-0020</t>
  </si>
  <si>
    <t>15cm x 15cm x 12mm</t>
  </si>
  <si>
    <t>M-0021</t>
  </si>
  <si>
    <t>15cm x 15cm x 20mm</t>
  </si>
  <si>
    <t>Brick Jelly</t>
  </si>
  <si>
    <t>M-0022</t>
  </si>
  <si>
    <t>40mm size</t>
  </si>
  <si>
    <t>cum.</t>
  </si>
  <si>
    <t>M-0023</t>
  </si>
  <si>
    <t>20mm size</t>
  </si>
  <si>
    <t>Pressed Tiles</t>
  </si>
  <si>
    <t>M-0024</t>
  </si>
  <si>
    <t>20 x 20 x 2cm</t>
  </si>
  <si>
    <t>M-0025</t>
  </si>
  <si>
    <t>23 x 23 x 2cm</t>
  </si>
  <si>
    <t>Pan Tiles</t>
  </si>
  <si>
    <t>M-0026</t>
  </si>
  <si>
    <t>23cm x 8cm x 1.7cm</t>
  </si>
  <si>
    <t>M-0027</t>
  </si>
  <si>
    <t>16.5cm x 8cm x 1.7cm</t>
  </si>
  <si>
    <t>Best Mangalore Tiles</t>
  </si>
  <si>
    <t>M-0028</t>
  </si>
  <si>
    <t>I Class'A'</t>
  </si>
  <si>
    <t>M-0029</t>
  </si>
  <si>
    <t>Class 'AA'</t>
  </si>
  <si>
    <t>M-0030</t>
  </si>
  <si>
    <t>Best Mangalore Ridge Tiles</t>
  </si>
  <si>
    <t>M-0031</t>
  </si>
  <si>
    <t>Best Mangalore Ceiling Tiles</t>
  </si>
  <si>
    <t>M-0032</t>
  </si>
  <si>
    <t>Best Mangalore Glass Roofing Tiles</t>
  </si>
  <si>
    <t>Each</t>
  </si>
  <si>
    <t>M-0033</t>
  </si>
  <si>
    <t>Best Mangalore Ventilating Tiles (Single)</t>
  </si>
  <si>
    <t>M-0034</t>
  </si>
  <si>
    <t>Best Mangalore Ventilating Tiles (Double)</t>
  </si>
  <si>
    <t>Mosaic Flooring Tiles (Grey)</t>
  </si>
  <si>
    <t>M-0035</t>
  </si>
  <si>
    <t>Mosaic (Grey) Tile 25 x 25 x 2cm</t>
  </si>
  <si>
    <t>M-0036</t>
  </si>
  <si>
    <t>Mosaic (Grey) Tile 20 x 20 x 2cm</t>
  </si>
  <si>
    <t>Mosaic (other Colour)</t>
  </si>
  <si>
    <t>M-0037</t>
  </si>
  <si>
    <t>Mosaic (other colour) Tile 25x25x2cm</t>
  </si>
  <si>
    <t>M-0038</t>
  </si>
  <si>
    <t>Mosaic (other colour) Tile 20x20x2cm</t>
  </si>
  <si>
    <t>M-0039</t>
  </si>
  <si>
    <t>Mosaic (Green) Tile 20 x 20 x 2cm</t>
  </si>
  <si>
    <t>M-0040</t>
  </si>
  <si>
    <t>Mosaic (Green) Tile 25 x 25 x 2cm</t>
  </si>
  <si>
    <t>M-0041</t>
  </si>
  <si>
    <t>Mosaic Chequered Tile Grey Colour Size 25 x 25 x 2 cm</t>
  </si>
  <si>
    <t>Attangudi Tiles for Heritage Works</t>
  </si>
  <si>
    <t>M-0042</t>
  </si>
  <si>
    <t>Size 8 x 8 x 3/4</t>
  </si>
  <si>
    <t>M-0043</t>
  </si>
  <si>
    <t>Size 10 x 10 x 3/4</t>
  </si>
  <si>
    <t>M-0044</t>
  </si>
  <si>
    <t>Size 12 x 12 x 3/4</t>
  </si>
  <si>
    <t>B. STONE AND ROAD MATERIALS</t>
  </si>
  <si>
    <t>M-0045</t>
  </si>
  <si>
    <t>Rough Stone for masonry works (Hard Granite)</t>
  </si>
  <si>
    <t>M-0048</t>
  </si>
  <si>
    <t>Cut Stone Pillar of size 0.15 x 0.15 x 2.10m</t>
  </si>
  <si>
    <t>M-0050</t>
  </si>
  <si>
    <t>From boulders without blasting for masonry</t>
  </si>
  <si>
    <t>M-0051</t>
  </si>
  <si>
    <t>Course Rubble Stone for masonry works</t>
  </si>
  <si>
    <t>M-0052</t>
  </si>
  <si>
    <t>Course Rubble Stone for Arch works</t>
  </si>
  <si>
    <t>M-0058</t>
  </si>
  <si>
    <t>Ashlar Arch Stone Fully Dressed to size all faces</t>
  </si>
  <si>
    <t>M-0059</t>
  </si>
  <si>
    <t>Flooring Stone SS Size (Not less than 10cm thick)</t>
  </si>
  <si>
    <t>sqm.</t>
  </si>
  <si>
    <t>M-0064</t>
  </si>
  <si>
    <t>Bond Stones</t>
  </si>
  <si>
    <t>Hard Broken Granite Stone Jelly (I.S.S.) Machine crushed / Hand broken</t>
  </si>
  <si>
    <t>M-0082</t>
  </si>
  <si>
    <t>HBGS Jelly 90mm size</t>
  </si>
  <si>
    <t>M-0083</t>
  </si>
  <si>
    <t>HBGS Jelly 80mm size</t>
  </si>
  <si>
    <t>M-0084</t>
  </si>
  <si>
    <t>HBGS Jelly 63mm size</t>
  </si>
  <si>
    <t>M-0085</t>
  </si>
  <si>
    <t>HBGS Jelly 50mm size</t>
  </si>
  <si>
    <t>M-0087</t>
  </si>
  <si>
    <t>HBGS Jelly 25mm size</t>
  </si>
  <si>
    <t>M-0089</t>
  </si>
  <si>
    <t>HBGS Jelly 12mm size</t>
  </si>
  <si>
    <t>M-0090</t>
  </si>
  <si>
    <t>HBGS Jelly 10mm size</t>
  </si>
  <si>
    <t>M-0091</t>
  </si>
  <si>
    <t>HBGS Jelly 6mm size</t>
  </si>
  <si>
    <t>M-0092</t>
  </si>
  <si>
    <t>HBGS Jelly 3mm size</t>
  </si>
  <si>
    <t>Quartz metal</t>
  </si>
  <si>
    <t>M-0107</t>
  </si>
  <si>
    <t>Quartz Metal 50mm</t>
  </si>
  <si>
    <t>M-0108</t>
  </si>
  <si>
    <t>Quartz Metal 40mm</t>
  </si>
  <si>
    <t>M-0115</t>
  </si>
  <si>
    <t>Laterite 40 to 75mm size</t>
  </si>
  <si>
    <t>M-0116</t>
  </si>
  <si>
    <t>Kankar 40 to 75mm size</t>
  </si>
  <si>
    <t>M-0117</t>
  </si>
  <si>
    <t>Soling Stones un-blasted 15cm cube</t>
  </si>
  <si>
    <t>M-0118</t>
  </si>
  <si>
    <t>Soling Stones blasted 15cm cube</t>
  </si>
  <si>
    <t>M-0119</t>
  </si>
  <si>
    <t>Gravel</t>
  </si>
  <si>
    <t>M-0120</t>
  </si>
  <si>
    <t>Well Gravel</t>
  </si>
  <si>
    <t>M-0121</t>
  </si>
  <si>
    <t>Screened Kankar Gravel</t>
  </si>
  <si>
    <t>M-0122</t>
  </si>
  <si>
    <t>Quarry Rubbish</t>
  </si>
  <si>
    <t>M-0124</t>
  </si>
  <si>
    <t>Pond Ash (wet / dry)</t>
  </si>
  <si>
    <t>Crushed Stone Sand (Commercially called M-Sand)</t>
  </si>
  <si>
    <t>M-0126</t>
  </si>
  <si>
    <t>Plastering Sand (P-Sand)</t>
  </si>
  <si>
    <t>M-0127</t>
  </si>
  <si>
    <t>Sand for Mortar *</t>
  </si>
  <si>
    <t>M-0128</t>
  </si>
  <si>
    <t>Sand for Filling *</t>
  </si>
  <si>
    <t>M-0129</t>
  </si>
  <si>
    <t>Clay for Puddle &amp; Masonry</t>
  </si>
  <si>
    <t>M-0130</t>
  </si>
  <si>
    <t>Cuddapah Slab 50mm Thick</t>
  </si>
  <si>
    <t>M-0131</t>
  </si>
  <si>
    <t>Cuddapah Slab 38 / 40mm Thick</t>
  </si>
  <si>
    <t>M-0132</t>
  </si>
  <si>
    <t>Cuddapah Slab 20 / 30mm Thick</t>
  </si>
  <si>
    <t>C. Lime</t>
  </si>
  <si>
    <t>M-0133</t>
  </si>
  <si>
    <t>Shell Lime (Slaked &amp; Screened)</t>
  </si>
  <si>
    <t>M-0134</t>
  </si>
  <si>
    <t>Freshly Slaked &amp; Screened Burnt Lime Stone</t>
  </si>
  <si>
    <t>M-0135</t>
  </si>
  <si>
    <t>Stone Lime or Lime Metal</t>
  </si>
  <si>
    <t>M-0136</t>
  </si>
  <si>
    <t>Unslaked Freshly Burnt Lime (CaO not less than 75%) for use in Heritage Construction Works</t>
  </si>
  <si>
    <t>M-0137</t>
  </si>
  <si>
    <t>Freshly Slaked and Screened Lime (CaO not less than 85%) for Theervai Plastering in Heritage Works</t>
  </si>
  <si>
    <t>D. Timber and Roofing Materials</t>
  </si>
  <si>
    <t>M-0138</t>
  </si>
  <si>
    <t>TW Scantlings (over 3m for joist and rafters) - Malabar</t>
  </si>
  <si>
    <t>M-0139</t>
  </si>
  <si>
    <t>TW  Scantlings  (for  tiebeams  &amp;  principal  rafters)  - Malabar</t>
  </si>
  <si>
    <t>M-0140</t>
  </si>
  <si>
    <t>TW Scantlings (over 2m &amp; below 3m in length) - Malabar</t>
  </si>
  <si>
    <t>M-0141</t>
  </si>
  <si>
    <t>TW Scantling (below 2m in length) - Malabar</t>
  </si>
  <si>
    <t>M-0142</t>
  </si>
  <si>
    <t>TW Planks (over 45cm wide &amp; 12mm thick)</t>
  </si>
  <si>
    <t>M-0143</t>
  </si>
  <si>
    <t>TW Planks  (30-45cm wide &amp; 12mm thick)</t>
  </si>
  <si>
    <t>M-0144</t>
  </si>
  <si>
    <t>TW Planks (30-45cm wide &amp; 12-25mm thick)</t>
  </si>
  <si>
    <t>M-0145</t>
  </si>
  <si>
    <t>TW Planks (30-45cm wide &amp; 25-40mm thick)</t>
  </si>
  <si>
    <t>M-0146</t>
  </si>
  <si>
    <t>TW Planks (15-30cm wide &amp; 12mm thick)</t>
  </si>
  <si>
    <t>M-0147</t>
  </si>
  <si>
    <t>TW Planks (15-30cm wide &amp; 12-25mm thick)</t>
  </si>
  <si>
    <t>M-0148</t>
  </si>
  <si>
    <t>TW Planks (15-30cm wide &amp; 25-40mm thick)</t>
  </si>
  <si>
    <t>M-0149</t>
  </si>
  <si>
    <t>TW Planks (upto 15cm wide &amp; 12mm thick)</t>
  </si>
  <si>
    <t>M-0150</t>
  </si>
  <si>
    <t>TW Planks (upto 15cm wide &amp; 12-25mm thick)</t>
  </si>
  <si>
    <t>M-0151</t>
  </si>
  <si>
    <t>TW Planks (upto 15cm wide &amp; 25-40mm thick)</t>
  </si>
  <si>
    <t>M-0152</t>
  </si>
  <si>
    <t>Seasoned Teakwood for Scantling and Planks for Heritage Works</t>
  </si>
  <si>
    <t>Teak Wood  Reepers</t>
  </si>
  <si>
    <t>M-0153</t>
  </si>
  <si>
    <t>TW Reepers 50 x 25mm</t>
  </si>
  <si>
    <t>RM</t>
  </si>
  <si>
    <t>M-0154</t>
  </si>
  <si>
    <t>TW Reepers 50 x 12mm</t>
  </si>
  <si>
    <t>Country Wood Scantling</t>
  </si>
  <si>
    <t>M-0155</t>
  </si>
  <si>
    <t>CW Scantling (upto 4m in length)</t>
  </si>
  <si>
    <t>M-0156</t>
  </si>
  <si>
    <t>CW Scantling (over 4m in length)</t>
  </si>
  <si>
    <t>M-0157</t>
  </si>
  <si>
    <t>CW Scantling (for tie beams &amp; principal rafters for trusses)</t>
  </si>
  <si>
    <t>M-0158</t>
  </si>
  <si>
    <t>Jack Wood Scantlings (upto 4m)</t>
  </si>
  <si>
    <t>M-0159</t>
  </si>
  <si>
    <t>Silver Oak Scantlings</t>
  </si>
  <si>
    <t>Country Wood Planks</t>
  </si>
  <si>
    <t>M-0160</t>
  </si>
  <si>
    <t>CW Planks (upto 30cm wide-40mm thick)</t>
  </si>
  <si>
    <t>M-0161</t>
  </si>
  <si>
    <t>CW Planks (upto 30cm wide-25mm thick)</t>
  </si>
  <si>
    <t>M-0162</t>
  </si>
  <si>
    <t>CW Planks (over 30cm wide-40mm thick)</t>
  </si>
  <si>
    <t>M-0163</t>
  </si>
  <si>
    <t>CW Planks (over 30cm wide-25mm thick)</t>
  </si>
  <si>
    <t>M-0164</t>
  </si>
  <si>
    <t>JW Planks (25-40mm thick)</t>
  </si>
  <si>
    <t>M-0165</t>
  </si>
  <si>
    <t>Silver Oak Plank (40mm thick)</t>
  </si>
  <si>
    <t>M-0166</t>
  </si>
  <si>
    <t>Bluegum Plank</t>
  </si>
  <si>
    <t>Country Wood Reepers</t>
  </si>
  <si>
    <t>M-0167</t>
  </si>
  <si>
    <t>CW Reepers (50 x 25mm)</t>
  </si>
  <si>
    <t>M-0168</t>
  </si>
  <si>
    <t>CW Reepers (50 x 12mm)</t>
  </si>
  <si>
    <t>M-0169</t>
  </si>
  <si>
    <t>Mango Plank</t>
  </si>
  <si>
    <t>M-0170</t>
  </si>
  <si>
    <t>Palmyrah Rafter (50-60mm wide &amp; 125mm depth)</t>
  </si>
  <si>
    <t>M-0171</t>
  </si>
  <si>
    <t>Palmyrah Leaves</t>
  </si>
  <si>
    <t>100 Nos.</t>
  </si>
  <si>
    <t>M-0172</t>
  </si>
  <si>
    <t>Palmyrah Leaves (labour for cutting)</t>
  </si>
  <si>
    <t>Casurina Poles</t>
  </si>
  <si>
    <t>M-0173</t>
  </si>
  <si>
    <t>Casurina Poles 13cm-15cm dia</t>
  </si>
  <si>
    <t>M-0174</t>
  </si>
  <si>
    <t>Casurina Poles 10cm-13cm dia</t>
  </si>
  <si>
    <t>M-0175</t>
  </si>
  <si>
    <t>Casurina Poles 8cm-10cm dia</t>
  </si>
  <si>
    <t>M-0176</t>
  </si>
  <si>
    <t>Casurina Poles 5cm-8cm dia</t>
  </si>
  <si>
    <t>Eucalyptus Poles</t>
  </si>
  <si>
    <t>M-0177</t>
  </si>
  <si>
    <t>13cm to 15cm dia</t>
  </si>
  <si>
    <t>M-0178</t>
  </si>
  <si>
    <t>10cm to 13cm dia</t>
  </si>
  <si>
    <t>M-0179</t>
  </si>
  <si>
    <t>8cm to 10cm dia</t>
  </si>
  <si>
    <t>M-0180</t>
  </si>
  <si>
    <t>5cm to 8cm dia</t>
  </si>
  <si>
    <t>M-0181</t>
  </si>
  <si>
    <t>Below 5cm</t>
  </si>
  <si>
    <t>M-0182</t>
  </si>
  <si>
    <t>Eucalyptus Bullies 4cm to 5cm dia and cross ties</t>
  </si>
  <si>
    <t>M-0183</t>
  </si>
  <si>
    <t>Casurina Bullies 4cm-5cm dia &amp; cross ties</t>
  </si>
  <si>
    <t>M-0184</t>
  </si>
  <si>
    <t>Bamboo Large (10cm dia and above)</t>
  </si>
  <si>
    <t>M-0185</t>
  </si>
  <si>
    <t>Bamboo (7.5cm-10cm dia)</t>
  </si>
  <si>
    <t>E. Metal and Iron Items</t>
  </si>
  <si>
    <t>M-0186</t>
  </si>
  <si>
    <t>Mild Steel Plates or Sheets BG 10</t>
  </si>
  <si>
    <t>M-0187</t>
  </si>
  <si>
    <t>Mild Steel Angles 25 x 25 x 3 mm</t>
  </si>
  <si>
    <t>Binding Wire (Black 18 G)</t>
  </si>
  <si>
    <t>M-0189</t>
  </si>
  <si>
    <t>Binding Wire (Galvanised-18 G)</t>
  </si>
  <si>
    <t>M-0190</t>
  </si>
  <si>
    <t>GI Sheets 30cm wide and 1.6mm thick</t>
  </si>
  <si>
    <t>M-0191</t>
  </si>
  <si>
    <t>Weld Mesh 7.5 x 2.5cm 10 Gauge</t>
  </si>
  <si>
    <t>M-0192</t>
  </si>
  <si>
    <t>Weld Mesh 7.5 x 5cm 10 Gauge</t>
  </si>
  <si>
    <t>M-0193</t>
  </si>
  <si>
    <t>Weld Mesh 10 x 10cm 10 Gauge</t>
  </si>
  <si>
    <t>M-0194</t>
  </si>
  <si>
    <t>Chicken Mesh</t>
  </si>
  <si>
    <t>M-0195</t>
  </si>
  <si>
    <t>Fly Proof Mesh</t>
  </si>
  <si>
    <t>M-0196</t>
  </si>
  <si>
    <t>Supplying  Mild  Steel  Grills  for  windows,  ventilators, etc., including priming coat</t>
  </si>
  <si>
    <t>F. Heritage Conservation Materials</t>
  </si>
  <si>
    <t>M-2281</t>
  </si>
  <si>
    <t>Heritage Mangalore Tiles size 10 x 16</t>
  </si>
  <si>
    <t>1000 Nos</t>
  </si>
  <si>
    <t>M-2282</t>
  </si>
  <si>
    <t>ISMB steel girder of all section for roof beams &amp; Columns</t>
  </si>
  <si>
    <t>Kg.</t>
  </si>
  <si>
    <t>M-2283</t>
  </si>
  <si>
    <t>Cement bonded particle Board 10mm thick</t>
  </si>
  <si>
    <t>M-2284</t>
  </si>
  <si>
    <t>SBR   Chemical   Liquid   (Synthetic   Butadine   Rubber polymer) (water proofing compound)</t>
  </si>
  <si>
    <t>Litre</t>
  </si>
  <si>
    <t>M-2285</t>
  </si>
  <si>
    <t>SBR water proofing sheet 3 to 4mm With Geo Textiles 2 layer</t>
  </si>
  <si>
    <t>M-2286</t>
  </si>
  <si>
    <t>Damp Proof chemical using Water based epoxy resin</t>
  </si>
  <si>
    <t>M-2287</t>
  </si>
  <si>
    <t>Hydralic  Double  pressed  fine  grinded  Interior  grade Flooring clay tiles of size 150mm x 150mm x 20mm.</t>
  </si>
  <si>
    <t>each</t>
  </si>
  <si>
    <t>M-2288</t>
  </si>
  <si>
    <t>Heritage Patterned customized cement based designer tiles of size 200mm x 200mm x 20mm including corner &amp; inner border tiles. The rate includes cost of material but excluding labour charges for laying.</t>
  </si>
  <si>
    <t>M-2289</t>
  </si>
  <si>
    <t>Cleaning  cut  stones  using  mild  hydrofloric  acid  and powder and water pressure</t>
  </si>
  <si>
    <t>M-2290</t>
  </si>
  <si>
    <t>Applying  lead  pointing  in  Natural  stone  masonry  &amp; Flooring joints 20mm thick.</t>
  </si>
  <si>
    <t>M-2291</t>
  </si>
  <si>
    <t>White Marble powder for Heritage works</t>
  </si>
  <si>
    <t>M-2292</t>
  </si>
  <si>
    <t>Multi Colour glass panes with Antique pattern Hitching ornamental jaffri work 4mm thick</t>
  </si>
  <si>
    <t>M-2293</t>
  </si>
  <si>
    <t>Hire  and  Running  charges  for  Electrically  Operated hoisting machine of capacity 200 - 300 Kg for period of one month</t>
  </si>
  <si>
    <t>1 No.</t>
  </si>
  <si>
    <t>Seasoned  Teakwood  Scantlings  and  Planks  for Heritage Works</t>
  </si>
  <si>
    <t>M-2294</t>
  </si>
  <si>
    <t>Upto 4m length</t>
  </si>
  <si>
    <t>M-2295</t>
  </si>
  <si>
    <t>4m to 6m length</t>
  </si>
  <si>
    <r>
      <t xml:space="preserve">FAT  LIME  Putty  </t>
    </r>
    <r>
      <rPr>
        <sz val="10"/>
        <color rgb="FF1A1718"/>
        <rFont val="Arial"/>
        <family val="2"/>
      </rPr>
      <t>with  following  Specifications  -  CaO content   more   than   90%   and   lime   concentration 60- 62% by weight with infinite shelf life when stored under water</t>
    </r>
  </si>
  <si>
    <t>M-2296</t>
  </si>
  <si>
    <t>Fat Lime</t>
  </si>
  <si>
    <t>M-2297</t>
  </si>
  <si>
    <t>Ash</t>
  </si>
  <si>
    <t>M-2298</t>
  </si>
  <si>
    <t>Play (Coarse)</t>
  </si>
  <si>
    <t>M-2299</t>
  </si>
  <si>
    <t>Play (Fine)</t>
  </si>
  <si>
    <t>M-2300</t>
  </si>
  <si>
    <t>Play (Top)</t>
  </si>
  <si>
    <t>M-2301</t>
  </si>
  <si>
    <t>(Anti) Paint</t>
  </si>
  <si>
    <t>M-2302</t>
  </si>
  <si>
    <t>Pigment</t>
  </si>
  <si>
    <t>M-2303</t>
  </si>
  <si>
    <t>Play (Soap)</t>
  </si>
  <si>
    <t>M-2304</t>
  </si>
  <si>
    <t>ecoWAX (Protective Coat)</t>
  </si>
  <si>
    <t>M-2305</t>
  </si>
  <si>
    <t>Boosters</t>
  </si>
  <si>
    <t>F. Energy Conservation Building Code (ECBC) Materials</t>
  </si>
  <si>
    <t>Specification for Burnt Clay Hollow Bricks for Walls</t>
  </si>
  <si>
    <t>M-2306</t>
  </si>
  <si>
    <t>Burnt   Clay   Hollow   Brick   (as   per   IS   3952-1988) with Rockwool Infill for Insulation for Walls, the brick having a size of 400 mm x 200 mm x 200 mm, having U (Thermal transmittance) Value of 0.6 (or lower) W/m2 K</t>
  </si>
  <si>
    <t>M-2307</t>
  </si>
  <si>
    <t>Burnt  Clay  Hollow  Brick  (as  per  IS  3952-1988)  for Walls, the brick having a size of 400 mm x 200 mm x 200  mm,  having  U  (Thermal  transmittance)  Value  of 1.00 (or lower) W/m2 K</t>
  </si>
  <si>
    <t>M-2308</t>
  </si>
  <si>
    <t>Burnt  Clay  Hollow  Brick  (as  per  IS  3952-1988)  for Walls, the brick having a size of 400 mm x 150 mm x 200  mm,  having  U  (Thermal  transmittance)  Value  of 1.20 W/m2 K (or lower)</t>
  </si>
  <si>
    <t>M-2309</t>
  </si>
  <si>
    <t>Burnt Clay Hollow Brick (as per IS 3952-1988) for Walls and Partition walls, the brick having a size of 400 mm x 100 mm x 200 mm, having U (Thermal transmittance) Value of 1.70 W/m2 K (or lower)</t>
  </si>
  <si>
    <t>Autoclaved Cellular Aerated Concrete Panel</t>
  </si>
  <si>
    <t>M-2310</t>
  </si>
  <si>
    <t>Supply of 50 mm thick AAC Prefabricated Fibre Reinforced Sandwich Panels having K (Thermal conductivity) value of 0.18 W/m.k or less</t>
  </si>
  <si>
    <t>M-2311</t>
  </si>
  <si>
    <t>Supply of 75 mm thick AAC Prefabricated Fibre Reinforced Sandwich Panels having K (Thermal conductivity) value of 0.17 W/m.k or less</t>
  </si>
  <si>
    <r>
      <t>Second Class Table Moulded Chamber Burnt Bricks - 9 x 4</t>
    </r>
    <r>
      <rPr>
        <vertAlign val="superscript"/>
        <sz val="4"/>
        <color rgb="FF1A1718"/>
        <rFont val="Arial"/>
        <family val="2"/>
      </rPr>
      <t>1</t>
    </r>
    <r>
      <rPr>
        <sz val="10"/>
        <color rgb="FF1A1718"/>
        <rFont val="Arial"/>
        <family val="2"/>
      </rPr>
      <t>/</t>
    </r>
    <r>
      <rPr>
        <vertAlign val="subscript"/>
        <sz val="4"/>
        <color rgb="FF1A1718"/>
        <rFont val="Arial"/>
        <family val="2"/>
      </rPr>
      <t xml:space="preserve">2  </t>
    </r>
    <r>
      <rPr>
        <sz val="10"/>
        <color rgb="FF1A1718"/>
        <rFont val="Arial"/>
        <family val="2"/>
      </rPr>
      <t>x 3</t>
    </r>
  </si>
  <si>
    <r>
      <t>Second Class Table Moulded Chamber Burnt Bricks - Burnt Brick - 9 x 4</t>
    </r>
    <r>
      <rPr>
        <vertAlign val="superscript"/>
        <sz val="4"/>
        <color rgb="FF1A1718"/>
        <rFont val="Arial"/>
        <family val="2"/>
      </rPr>
      <t>3</t>
    </r>
    <r>
      <rPr>
        <sz val="10"/>
        <color rgb="FF1A1718"/>
        <rFont val="Arial"/>
        <family val="2"/>
      </rPr>
      <t>/</t>
    </r>
    <r>
      <rPr>
        <vertAlign val="subscript"/>
        <sz val="4"/>
        <color rgb="FF1A1718"/>
        <rFont val="Arial"/>
        <family val="2"/>
      </rPr>
      <t xml:space="preserve">8  </t>
    </r>
    <r>
      <rPr>
        <sz val="10"/>
        <color rgb="FF1A1718"/>
        <rFont val="Arial"/>
        <family val="2"/>
      </rPr>
      <t>x 2</t>
    </r>
    <r>
      <rPr>
        <vertAlign val="superscript"/>
        <sz val="4"/>
        <color rgb="FF1A1718"/>
        <rFont val="Arial"/>
        <family val="2"/>
      </rPr>
      <t>3</t>
    </r>
    <r>
      <rPr>
        <sz val="10"/>
        <color rgb="FF1A1718"/>
        <rFont val="Arial"/>
        <family val="2"/>
      </rPr>
      <t>/</t>
    </r>
    <r>
      <rPr>
        <vertAlign val="subscript"/>
        <sz val="4"/>
        <color rgb="FF1A1718"/>
        <rFont val="Arial"/>
        <family val="2"/>
      </rPr>
      <t>4</t>
    </r>
  </si>
  <si>
    <r>
      <t>Second Class Ground Moulded Chamber Burnt Bricks - 9 x 4</t>
    </r>
    <r>
      <rPr>
        <vertAlign val="superscript"/>
        <sz val="4"/>
        <color rgb="FF1A1718"/>
        <rFont val="Arial"/>
        <family val="2"/>
      </rPr>
      <t>1</t>
    </r>
    <r>
      <rPr>
        <sz val="10"/>
        <color rgb="FF1A1718"/>
        <rFont val="Arial"/>
        <family val="2"/>
      </rPr>
      <t>/</t>
    </r>
    <r>
      <rPr>
        <vertAlign val="subscript"/>
        <sz val="4"/>
        <color rgb="FF1A1718"/>
        <rFont val="Arial"/>
        <family val="2"/>
      </rPr>
      <t xml:space="preserve">2  </t>
    </r>
    <r>
      <rPr>
        <sz val="10"/>
        <color rgb="FF1A1718"/>
        <rFont val="Arial"/>
        <family val="2"/>
      </rPr>
      <t>x 3</t>
    </r>
  </si>
  <si>
    <r>
      <t>Second Class Ground Moulded Chamber Burnt Bricks - 9 x 4</t>
    </r>
    <r>
      <rPr>
        <vertAlign val="superscript"/>
        <sz val="4"/>
        <color rgb="FF1A1718"/>
        <rFont val="Arial"/>
        <family val="2"/>
      </rPr>
      <t>3</t>
    </r>
    <r>
      <rPr>
        <sz val="10"/>
        <color rgb="FF1A1718"/>
        <rFont val="Arial"/>
        <family val="2"/>
      </rPr>
      <t>/</t>
    </r>
    <r>
      <rPr>
        <vertAlign val="subscript"/>
        <sz val="4"/>
        <color rgb="FF1A1718"/>
        <rFont val="Arial"/>
        <family val="2"/>
      </rPr>
      <t xml:space="preserve">8  </t>
    </r>
    <r>
      <rPr>
        <sz val="10"/>
        <color rgb="FF1A1718"/>
        <rFont val="Arial"/>
        <family val="2"/>
      </rPr>
      <t>x 2</t>
    </r>
    <r>
      <rPr>
        <vertAlign val="superscript"/>
        <sz val="4"/>
        <color rgb="FF1A1718"/>
        <rFont val="Arial"/>
        <family val="2"/>
      </rPr>
      <t>3</t>
    </r>
    <r>
      <rPr>
        <sz val="10"/>
        <color rgb="FF1A1718"/>
        <rFont val="Arial"/>
        <family val="2"/>
      </rPr>
      <t>/</t>
    </r>
    <r>
      <rPr>
        <vertAlign val="subscript"/>
        <sz val="4"/>
        <color rgb="FF1A1718"/>
        <rFont val="Arial"/>
        <family val="2"/>
      </rPr>
      <t>4</t>
    </r>
  </si>
  <si>
    <r>
      <t>Third Class Country Brick Kiln Burnt - 8</t>
    </r>
    <r>
      <rPr>
        <vertAlign val="superscript"/>
        <sz val="4"/>
        <color rgb="FF1A1718"/>
        <rFont val="Arial"/>
        <family val="2"/>
      </rPr>
      <t>3</t>
    </r>
    <r>
      <rPr>
        <sz val="10"/>
        <color rgb="FF1A1718"/>
        <rFont val="Arial"/>
        <family val="2"/>
      </rPr>
      <t>/</t>
    </r>
    <r>
      <rPr>
        <vertAlign val="subscript"/>
        <sz val="4"/>
        <color rgb="FF1A1718"/>
        <rFont val="Arial"/>
        <family val="2"/>
      </rPr>
      <t xml:space="preserve">4  </t>
    </r>
    <r>
      <rPr>
        <sz val="10"/>
        <color rgb="FF1A1718"/>
        <rFont val="Arial"/>
        <family val="2"/>
      </rPr>
      <t>x 4</t>
    </r>
    <r>
      <rPr>
        <vertAlign val="superscript"/>
        <sz val="4"/>
        <color rgb="FF1A1718"/>
        <rFont val="Arial"/>
        <family val="2"/>
      </rPr>
      <t>1</t>
    </r>
    <r>
      <rPr>
        <sz val="10"/>
        <color rgb="FF1A1718"/>
        <rFont val="Arial"/>
        <family val="2"/>
      </rPr>
      <t>/</t>
    </r>
    <r>
      <rPr>
        <vertAlign val="subscript"/>
        <sz val="4"/>
        <color rgb="FF1A1718"/>
        <rFont val="Arial"/>
        <family val="2"/>
      </rPr>
      <t xml:space="preserve">4  </t>
    </r>
    <r>
      <rPr>
        <sz val="10"/>
        <color rgb="FF1A1718"/>
        <rFont val="Arial"/>
        <family val="2"/>
      </rPr>
      <t>x 2</t>
    </r>
    <r>
      <rPr>
        <vertAlign val="superscript"/>
        <sz val="4"/>
        <color rgb="FF1A1718"/>
        <rFont val="Arial"/>
        <family val="2"/>
      </rPr>
      <t>3</t>
    </r>
    <r>
      <rPr>
        <sz val="10"/>
        <color rgb="FF1A1718"/>
        <rFont val="Arial"/>
        <family val="2"/>
      </rPr>
      <t>/</t>
    </r>
    <r>
      <rPr>
        <vertAlign val="subscript"/>
        <sz val="4"/>
        <color rgb="FF1A1718"/>
        <rFont val="Arial"/>
        <family val="2"/>
      </rPr>
      <t>4</t>
    </r>
  </si>
  <si>
    <r>
      <t>Third Class Country Brick Kiln Burnt - 8</t>
    </r>
    <r>
      <rPr>
        <vertAlign val="superscript"/>
        <sz val="4"/>
        <color rgb="FF1A1718"/>
        <rFont val="Arial"/>
        <family val="2"/>
      </rPr>
      <t>3</t>
    </r>
    <r>
      <rPr>
        <sz val="10"/>
        <color rgb="FF1A1718"/>
        <rFont val="Arial"/>
        <family val="2"/>
      </rPr>
      <t>/</t>
    </r>
    <r>
      <rPr>
        <vertAlign val="subscript"/>
        <sz val="4"/>
        <color rgb="FF1A1718"/>
        <rFont val="Arial"/>
        <family val="2"/>
      </rPr>
      <t xml:space="preserve">4  </t>
    </r>
    <r>
      <rPr>
        <sz val="10"/>
        <color rgb="FF1A1718"/>
        <rFont val="Arial"/>
        <family val="2"/>
      </rPr>
      <t>x 4</t>
    </r>
    <r>
      <rPr>
        <vertAlign val="superscript"/>
        <sz val="4"/>
        <color rgb="FF1A1718"/>
        <rFont val="Arial"/>
        <family val="2"/>
      </rPr>
      <t>1</t>
    </r>
    <r>
      <rPr>
        <sz val="10"/>
        <color rgb="FF1A1718"/>
        <rFont val="Arial"/>
        <family val="2"/>
      </rPr>
      <t>/</t>
    </r>
    <r>
      <rPr>
        <vertAlign val="subscript"/>
        <sz val="4"/>
        <color rgb="FF1A1718"/>
        <rFont val="Arial"/>
        <family val="2"/>
      </rPr>
      <t xml:space="preserve">4  </t>
    </r>
    <r>
      <rPr>
        <sz val="10"/>
        <color rgb="FF1A1718"/>
        <rFont val="Arial"/>
        <family val="2"/>
      </rPr>
      <t>x 2</t>
    </r>
    <r>
      <rPr>
        <vertAlign val="superscript"/>
        <sz val="4"/>
        <color rgb="FF1A1718"/>
        <rFont val="Arial"/>
        <family val="2"/>
      </rPr>
      <t>1</t>
    </r>
    <r>
      <rPr>
        <sz val="10"/>
        <color rgb="FF1A1718"/>
        <rFont val="Arial"/>
        <family val="2"/>
      </rPr>
      <t>/</t>
    </r>
    <r>
      <rPr>
        <vertAlign val="subscript"/>
        <sz val="4"/>
        <color rgb="FF1A1718"/>
        <rFont val="Arial"/>
        <family val="2"/>
      </rPr>
      <t>4</t>
    </r>
  </si>
  <si>
    <r>
      <t>Third Class Country Brick Kiln Burnt - 8</t>
    </r>
    <r>
      <rPr>
        <vertAlign val="superscript"/>
        <sz val="4"/>
        <color rgb="FF1A1718"/>
        <rFont val="Arial"/>
        <family val="2"/>
      </rPr>
      <t>3</t>
    </r>
    <r>
      <rPr>
        <sz val="10"/>
        <color rgb="FF1A1718"/>
        <rFont val="Arial"/>
        <family val="2"/>
      </rPr>
      <t>/</t>
    </r>
    <r>
      <rPr>
        <vertAlign val="subscript"/>
        <sz val="4"/>
        <color rgb="FF1A1718"/>
        <rFont val="Arial"/>
        <family val="2"/>
      </rPr>
      <t xml:space="preserve">4  </t>
    </r>
    <r>
      <rPr>
        <sz val="10"/>
        <color rgb="FF1A1718"/>
        <rFont val="Arial"/>
        <family val="2"/>
      </rPr>
      <t>x 4</t>
    </r>
    <r>
      <rPr>
        <vertAlign val="superscript"/>
        <sz val="4"/>
        <color rgb="FF1A1718"/>
        <rFont val="Arial"/>
        <family val="2"/>
      </rPr>
      <t>1</t>
    </r>
    <r>
      <rPr>
        <sz val="10"/>
        <color rgb="FF1A1718"/>
        <rFont val="Arial"/>
        <family val="2"/>
      </rPr>
      <t>/</t>
    </r>
    <r>
      <rPr>
        <vertAlign val="subscript"/>
        <sz val="4"/>
        <color rgb="FF1A1718"/>
        <rFont val="Arial"/>
        <family val="2"/>
      </rPr>
      <t xml:space="preserve">4  </t>
    </r>
    <r>
      <rPr>
        <sz val="10"/>
        <color rgb="FF1A1718"/>
        <rFont val="Arial"/>
        <family val="2"/>
      </rPr>
      <t>x 2</t>
    </r>
  </si>
  <si>
    <t>Fly Ash Bricks - 230 x 110 x 70mm</t>
  </si>
  <si>
    <t>Fly Ash Bricks - 230 x 110 x 75mm</t>
  </si>
  <si>
    <t>Wire Cut Bricks for Heritage Works - Size 9 x 4 x 3</t>
  </si>
  <si>
    <t>Wire Cut Bricks for Heritage Works - Size 9 x 4 x 2</t>
  </si>
  <si>
    <t>Wire Cut Bricks for Heritage Works - Size 9 x 6.5 x 2</t>
  </si>
  <si>
    <t>Mangalore Tiles (1000 Nos), Machine Pressed Tiles (2000 Nos), Hydraulically Pressed Mosaic Flooring Tiles (1500 Nos)</t>
  </si>
  <si>
    <t>Bricks II Class Chamber Burnt Bricks (Table Moulded / Ground Moulded), Fly Ash Bricks (1000 Nos.)</t>
  </si>
  <si>
    <t>Rough Stone, Bond Stone, Cut Stone, Broken Stone Jelly, Sand, Gravel, Surki, Earth, Crushed Stone Sand (1Cu.M)</t>
  </si>
  <si>
    <t>Lime Stone, Laterite, Brick Jelly, Wood Work, Pond Ash (Wet / Dry), Stone Dust (1Cu.M)</t>
  </si>
  <si>
    <t>Cement, Steel (1 MT)</t>
  </si>
  <si>
    <t>Loading Charges</t>
  </si>
  <si>
    <t>Unloading Charges</t>
  </si>
  <si>
    <t>Co-efficient</t>
  </si>
  <si>
    <t>Course Aggregate</t>
  </si>
  <si>
    <t>Total Transport Charges</t>
  </si>
  <si>
    <t>Total Lift Charges</t>
  </si>
  <si>
    <t>Third Class Country Bricks (Kiln Burnt) (1000 Nos.)</t>
  </si>
  <si>
    <t>Weight = Volume x Density = 0.45 x 1440</t>
  </si>
  <si>
    <t>H-0097</t>
  </si>
  <si>
    <t>H-0098</t>
  </si>
  <si>
    <t>Carriage of concrete by Transit Mixer</t>
  </si>
  <si>
    <t>H-0099</t>
  </si>
  <si>
    <t>Cutting Saw Machine</t>
  </si>
  <si>
    <t>H-0100</t>
  </si>
  <si>
    <t>Concrete Joint Cutting Machine</t>
  </si>
  <si>
    <t>H-0101</t>
  </si>
  <si>
    <t>H-0102</t>
  </si>
  <si>
    <t>Excavation of diaphragm wall by Mechanical Grab</t>
  </si>
  <si>
    <t>H-0103</t>
  </si>
  <si>
    <t>Hire and running charges of Bentonite Pump</t>
  </si>
  <si>
    <t>H-0104</t>
  </si>
  <si>
    <t>Hire and running charges of Crane 20 Tonne capacity</t>
  </si>
  <si>
    <t>H-0105</t>
  </si>
  <si>
    <t>Hire and running charges of Crane 40 Tonne capacity</t>
  </si>
  <si>
    <t>H-0106</t>
  </si>
  <si>
    <t>Hire and running charges of Crane 80 Tonne capacity</t>
  </si>
  <si>
    <t>H-0107</t>
  </si>
  <si>
    <t>Tractor with Trailar including Driver and Fuel</t>
  </si>
  <si>
    <t>Hour</t>
  </si>
  <si>
    <t>H-0108</t>
  </si>
  <si>
    <t>H-0109</t>
  </si>
  <si>
    <t>H-0110</t>
  </si>
  <si>
    <t>Mixer Machine with Hopper</t>
  </si>
  <si>
    <t>H-0111</t>
  </si>
  <si>
    <t>H-0112</t>
  </si>
  <si>
    <t>H-0113</t>
  </si>
  <si>
    <t>Hire running charges for Light Crane</t>
  </si>
  <si>
    <t>H-0114</t>
  </si>
  <si>
    <t>Hire running charges for Tipper</t>
  </si>
  <si>
    <t>H-0115</t>
  </si>
  <si>
    <t>Hire running charges for Loader</t>
  </si>
  <si>
    <t>Km / Cum</t>
  </si>
  <si>
    <t>Pumping charges of concrete including hire charges of pump piping work and accessories etc.</t>
  </si>
  <si>
    <t>Air Compressor 250 cfm. with two leads for Pneumatic Cutters / Hammers</t>
  </si>
  <si>
    <t>Earth Excavator- Wheeled Backhoe loader 0.50 m3 capacity</t>
  </si>
  <si>
    <t>Hire Charges for Surface Vibrator or Earth Rammer including Fuel</t>
  </si>
  <si>
    <t>Earth Excavator- Crawler / Tracked Excavator 1 m3 capacity</t>
  </si>
  <si>
    <t>Hire running charges for hydraulic piling Rigs including power accessories shifting from place to place</t>
  </si>
  <si>
    <t>As per G.O. Ms.No.4, Public Works (I.Spl.2) Dept., dated 06.01.2022</t>
  </si>
  <si>
    <t xml:space="preserve"> </t>
  </si>
  <si>
    <t>H-0116</t>
  </si>
  <si>
    <t>Hours</t>
  </si>
  <si>
    <t>Loader</t>
  </si>
  <si>
    <t>Tipper</t>
  </si>
  <si>
    <t>H-0117</t>
  </si>
  <si>
    <t>H-0118</t>
  </si>
  <si>
    <t>H-0119</t>
  </si>
  <si>
    <t>Hire charges for Masonry Scaffolding</t>
  </si>
  <si>
    <t>Hire charges for Concrete Formwork</t>
  </si>
  <si>
    <t>H-0120</t>
  </si>
  <si>
    <t>Hire charges for Concrete Shuttering</t>
  </si>
  <si>
    <t>RCC M20 (1:1.5:3)</t>
  </si>
  <si>
    <t>RCC - M20</t>
  </si>
  <si>
    <t>Steel, Mild Steel bars @ 2% = 0.2 Cu.M</t>
  </si>
  <si>
    <t>1 Cu.M of steel = 78.5 Quintals
78.5Q x 0.2Cu.M = 15.7Q
1Q = 0.1 MT</t>
  </si>
  <si>
    <t>Items</t>
  </si>
  <si>
    <t>Blacksmith (II class) for bar bending</t>
  </si>
  <si>
    <t>Mazdoor for bar bending</t>
  </si>
  <si>
    <t>Carpenter (II class) for centering &amp; shuttering</t>
  </si>
  <si>
    <t>Mazdoor for centering &amp; shuttering</t>
  </si>
  <si>
    <t>H-0121</t>
  </si>
  <si>
    <t>Hire charges for Excavation Tools and Tackles</t>
  </si>
  <si>
    <t>Hire charges for Masonry Tools and Tackles</t>
  </si>
  <si>
    <t>Hire charges for Concrete Tools and Tackles</t>
  </si>
  <si>
    <t>Cement  (28.5 bags or 0.95 Cu.M)</t>
  </si>
  <si>
    <t>Cement  (34.5 bags or 1.15 Cu.M)</t>
  </si>
  <si>
    <t>Cement  (45 bags or 1.50 Cu.M)</t>
  </si>
  <si>
    <t>Cement  (66 bags or 2.20 Cu.M)</t>
  </si>
  <si>
    <t>Cement  (84 bags or 2.80 Cu.M)</t>
  </si>
  <si>
    <t>Cement  (90 bags or 3.125 Cu.M)</t>
  </si>
  <si>
    <t>Cement  (96 bags or 3.33 Cu.M)</t>
  </si>
  <si>
    <t>Cement (9 bags or 0.30 Cu.M)</t>
  </si>
  <si>
    <t>Cement (10.5 bags or 0.35 Cu.M)</t>
  </si>
  <si>
    <t>Cement Mortor of 1:4 Plestering Mix for 20mm thick plastering</t>
  </si>
  <si>
    <t>Cement Mortor of 1:6 Plestering Mix for 12mm thick plastering</t>
  </si>
  <si>
    <t>Cement Mortor of 1:5 Plestering Mix for 12mm thick plastering</t>
  </si>
  <si>
    <t>Cement (19.5 bags or 0.65 Cu.M)</t>
  </si>
  <si>
    <t>Cement Mortor of 1:3 Plestering Mix for 20mm thick plastering</t>
  </si>
  <si>
    <t>Cement (23.4 bags or 0.78 Cu.M)</t>
  </si>
  <si>
    <t>Cement Mortor of 1:2 Plestering Mix for 20mm thick plastering</t>
  </si>
  <si>
    <t>Cement (30 bags or 1.0 Cu.M)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</si>
</sst>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₹&quot;* #,##0.00_);_(&quot;₹&quot;* \(#,##0.00\);_(&quot;₹&quot;* &quot;-&quot;??_);_(@_)"/>
    <numFmt numFmtId="165" formatCode="_ [$₹-4009]\ * #,##0.00_ ;_ [$₹-4009]\ * \-#,##0.00_ ;_ [$₹-4009]\ * &quot;-&quot;??_ ;_ @_ "/>
    <numFmt numFmtId="166" formatCode="0.000"/>
    <numFmt numFmtId="167" formatCode="0.00_)"/>
    <numFmt numFmtId="169" formatCode="&quot;₹&quot;\ #,##0.00"/>
  </numFmts>
  <fonts count="27" x14ac:knownFonts="1">
    <font>
      <sz val="12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Helvetica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8"/>
      <name val="Aptos Narrow"/>
      <family val="2"/>
      <scheme val="minor"/>
    </font>
    <font>
      <b/>
      <sz val="10"/>
      <color theme="1"/>
      <name val="Helvetica"/>
      <family val="2"/>
    </font>
    <font>
      <b/>
      <sz val="9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1"/>
      <color rgb="FF242424"/>
      <name val="Consolas"/>
      <family val="3"/>
    </font>
    <font>
      <b/>
      <sz val="10"/>
      <color rgb="FF1A1718"/>
      <name val="Arial"/>
      <family val="2"/>
    </font>
    <font>
      <sz val="12"/>
      <color theme="1"/>
      <name val="Helvetica"/>
      <family val="2"/>
    </font>
    <font>
      <sz val="10"/>
      <color rgb="FF1A1718"/>
      <name val="Arial"/>
      <family val="2"/>
    </font>
    <font>
      <sz val="10"/>
      <color rgb="FF1A1718"/>
      <name val="Helvetica"/>
      <family val="2"/>
    </font>
    <font>
      <sz val="10"/>
      <color rgb="FF010302"/>
      <name val="Arial"/>
      <family val="2"/>
    </font>
    <font>
      <vertAlign val="superscript"/>
      <sz val="4"/>
      <color rgb="FF1A1718"/>
      <name val="Arial"/>
      <family val="2"/>
    </font>
    <font>
      <vertAlign val="subscript"/>
      <sz val="4"/>
      <color rgb="FF1A1718"/>
      <name val="Arial"/>
      <family val="2"/>
    </font>
    <font>
      <sz val="10"/>
      <color rgb="FF010302"/>
      <name val="Helvetica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8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5" fontId="2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10" fontId="6" fillId="0" borderId="0" xfId="1" applyNumberFormat="1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6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2" fontId="2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66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164" fontId="0" fillId="0" borderId="1" xfId="0" applyNumberFormat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0" fillId="0" borderId="11" xfId="0" applyNumberFormat="1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164" fontId="0" fillId="2" borderId="2" xfId="0" applyNumberFormat="1" applyFill="1" applyBorder="1" applyAlignment="1">
      <alignment vertical="center" wrapText="1"/>
    </xf>
    <xf numFmtId="0" fontId="0" fillId="2" borderId="3" xfId="0" applyFill="1" applyBorder="1" applyAlignment="1">
      <alignment horizontal="center" vertical="center" wrapText="1"/>
    </xf>
    <xf numFmtId="2" fontId="6" fillId="0" borderId="16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0" borderId="9" xfId="2" applyNumberFormat="1" applyFont="1" applyBorder="1" applyAlignment="1">
      <alignment horizontal="center" vertical="center"/>
    </xf>
    <xf numFmtId="0" fontId="18" fillId="0" borderId="6" xfId="0" applyFont="1" applyBorder="1" applyAlignment="1">
      <alignment vertical="center"/>
    </xf>
    <xf numFmtId="0" fontId="18" fillId="0" borderId="2" xfId="0" applyFont="1" applyBorder="1" applyAlignment="1">
      <alignment vertical="center" wrapText="1"/>
    </xf>
    <xf numFmtId="0" fontId="19" fillId="0" borderId="2" xfId="0" applyFont="1" applyBorder="1" applyAlignment="1">
      <alignment horizontal="center" vertical="center"/>
    </xf>
    <xf numFmtId="164" fontId="19" fillId="0" borderId="3" xfId="2" applyNumberFormat="1" applyFont="1" applyBorder="1" applyAlignment="1">
      <alignment horizontal="right" vertical="center"/>
    </xf>
    <xf numFmtId="0" fontId="20" fillId="0" borderId="7" xfId="0" applyFont="1" applyBorder="1" applyAlignment="1">
      <alignment vertical="center"/>
    </xf>
    <xf numFmtId="0" fontId="20" fillId="0" borderId="1" xfId="0" applyFont="1" applyBorder="1" applyAlignment="1">
      <alignment vertical="center" wrapText="1"/>
    </xf>
    <xf numFmtId="0" fontId="20" fillId="0" borderId="1" xfId="0" applyFont="1" applyBorder="1" applyAlignment="1">
      <alignment horizontal="center" vertical="center"/>
    </xf>
    <xf numFmtId="164" fontId="21" fillId="0" borderId="4" xfId="2" applyNumberFormat="1" applyFont="1" applyBorder="1" applyAlignment="1">
      <alignment horizontal="right" vertical="center"/>
    </xf>
    <xf numFmtId="0" fontId="18" fillId="0" borderId="7" xfId="0" applyFont="1" applyBorder="1" applyAlignment="1">
      <alignment vertical="center"/>
    </xf>
    <xf numFmtId="0" fontId="18" fillId="0" borderId="1" xfId="0" applyFont="1" applyBorder="1" applyAlignment="1">
      <alignment vertical="center" wrapText="1"/>
    </xf>
    <xf numFmtId="0" fontId="19" fillId="0" borderId="1" xfId="0" applyFont="1" applyBorder="1" applyAlignment="1">
      <alignment horizontal="center" vertical="center"/>
    </xf>
    <xf numFmtId="164" fontId="19" fillId="0" borderId="4" xfId="2" applyNumberFormat="1" applyFont="1" applyBorder="1" applyAlignment="1">
      <alignment horizontal="right" vertical="center"/>
    </xf>
    <xf numFmtId="0" fontId="22" fillId="0" borderId="1" xfId="0" applyFont="1" applyBorder="1" applyAlignment="1">
      <alignment vertical="center" wrapText="1"/>
    </xf>
    <xf numFmtId="0" fontId="22" fillId="0" borderId="1" xfId="0" applyFont="1" applyBorder="1" applyAlignment="1">
      <alignment horizontal="center" vertical="center"/>
    </xf>
    <xf numFmtId="164" fontId="21" fillId="0" borderId="4" xfId="2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0" fontId="20" fillId="0" borderId="11" xfId="0" applyFont="1" applyBorder="1" applyAlignment="1">
      <alignment vertical="center" wrapText="1"/>
    </xf>
    <xf numFmtId="0" fontId="20" fillId="0" borderId="11" xfId="0" applyFont="1" applyBorder="1" applyAlignment="1">
      <alignment horizontal="center" vertical="center"/>
    </xf>
    <xf numFmtId="164" fontId="21" fillId="0" borderId="12" xfId="2" applyNumberFormat="1" applyFont="1" applyBorder="1" applyAlignment="1">
      <alignment horizontal="right" vertical="center"/>
    </xf>
    <xf numFmtId="0" fontId="0" fillId="0" borderId="0" xfId="0" applyAlignment="1">
      <alignment wrapText="1"/>
    </xf>
    <xf numFmtId="164" fontId="0" fillId="0" borderId="0" xfId="2" applyNumberFormat="1" applyFont="1" applyAlignment="1">
      <alignment horizontal="right"/>
    </xf>
    <xf numFmtId="165" fontId="1" fillId="0" borderId="9" xfId="3" applyNumberFormat="1" applyFont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0" fontId="20" fillId="0" borderId="2" xfId="0" applyFont="1" applyBorder="1" applyAlignment="1">
      <alignment vertical="center" wrapText="1"/>
    </xf>
    <xf numFmtId="0" fontId="20" fillId="0" borderId="2" xfId="0" applyFont="1" applyBorder="1" applyAlignment="1">
      <alignment horizontal="center" vertical="center"/>
    </xf>
    <xf numFmtId="165" fontId="21" fillId="0" borderId="3" xfId="3" applyNumberFormat="1" applyFont="1" applyBorder="1" applyAlignment="1">
      <alignment horizontal="right" vertical="center"/>
    </xf>
    <xf numFmtId="165" fontId="21" fillId="0" borderId="4" xfId="3" applyNumberFormat="1" applyFont="1" applyBorder="1" applyAlignment="1">
      <alignment horizontal="right" vertical="center"/>
    </xf>
    <xf numFmtId="0" fontId="19" fillId="0" borderId="7" xfId="0" applyFont="1" applyBorder="1" applyAlignment="1">
      <alignment vertical="center"/>
    </xf>
    <xf numFmtId="165" fontId="19" fillId="0" borderId="4" xfId="3" applyNumberFormat="1" applyFont="1" applyBorder="1" applyAlignment="1">
      <alignment horizontal="right" vertical="center"/>
    </xf>
    <xf numFmtId="0" fontId="20" fillId="0" borderId="4" xfId="3" applyNumberFormat="1" applyFont="1" applyBorder="1" applyAlignment="1">
      <alignment horizontal="right" vertical="center" wrapText="1"/>
    </xf>
    <xf numFmtId="165" fontId="0" fillId="0" borderId="4" xfId="3" applyNumberFormat="1" applyFont="1" applyBorder="1" applyAlignment="1">
      <alignment horizontal="right" vertical="center"/>
    </xf>
    <xf numFmtId="165" fontId="25" fillId="0" borderId="4" xfId="3" applyNumberFormat="1" applyFont="1" applyBorder="1" applyAlignment="1">
      <alignment horizontal="right" vertical="center"/>
    </xf>
    <xf numFmtId="165" fontId="21" fillId="0" borderId="4" xfId="3" applyNumberFormat="1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165" fontId="21" fillId="0" borderId="12" xfId="3" applyNumberFormat="1" applyFont="1" applyBorder="1" applyAlignment="1">
      <alignment horizontal="right" vertical="center"/>
    </xf>
    <xf numFmtId="165" fontId="0" fillId="0" borderId="0" xfId="3" applyNumberFormat="1" applyFont="1" applyAlignment="1">
      <alignment horizontal="right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7" fontId="6" fillId="0" borderId="18" xfId="0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169" fontId="6" fillId="0" borderId="16" xfId="0" applyNumberFormat="1" applyFont="1" applyBorder="1" applyAlignment="1">
      <alignment horizontal="center" vertical="center"/>
    </xf>
    <xf numFmtId="169" fontId="15" fillId="0" borderId="18" xfId="0" applyNumberFormat="1" applyFont="1" applyBorder="1" applyAlignment="1">
      <alignment horizontal="center" vertical="center"/>
    </xf>
    <xf numFmtId="169" fontId="6" fillId="0" borderId="19" xfId="0" applyNumberFormat="1" applyFont="1" applyBorder="1" applyAlignment="1">
      <alignment horizontal="center" vertical="center"/>
    </xf>
    <xf numFmtId="44" fontId="17" fillId="0" borderId="16" xfId="0" applyNumberFormat="1" applyFont="1" applyBorder="1" applyAlignment="1">
      <alignment vertical="center"/>
    </xf>
    <xf numFmtId="169" fontId="15" fillId="0" borderId="19" xfId="0" applyNumberFormat="1" applyFont="1" applyBorder="1" applyAlignment="1">
      <alignment horizontal="center" vertical="center"/>
    </xf>
    <xf numFmtId="169" fontId="15" fillId="0" borderId="16" xfId="0" applyNumberFormat="1" applyFont="1" applyBorder="1" applyAlignment="1">
      <alignment horizontal="center" vertical="center"/>
    </xf>
    <xf numFmtId="44" fontId="17" fillId="0" borderId="17" xfId="0" applyNumberFormat="1" applyFont="1" applyBorder="1" applyAlignment="1">
      <alignment vertical="center"/>
    </xf>
    <xf numFmtId="167" fontId="14" fillId="0" borderId="0" xfId="0" applyNumberFormat="1" applyFont="1" applyBorder="1" applyAlignment="1">
      <alignment horizontal="center" vertical="center" wrapText="1"/>
    </xf>
    <xf numFmtId="44" fontId="17" fillId="0" borderId="0" xfId="0" applyNumberFormat="1" applyFont="1" applyBorder="1" applyAlignment="1">
      <alignment vertical="center"/>
    </xf>
    <xf numFmtId="1" fontId="14" fillId="0" borderId="13" xfId="0" applyNumberFormat="1" applyFont="1" applyBorder="1" applyAlignment="1">
      <alignment horizontal="center" vertical="center" wrapText="1"/>
    </xf>
    <xf numFmtId="1" fontId="14" fillId="0" borderId="14" xfId="0" applyNumberFormat="1" applyFont="1" applyBorder="1" applyAlignment="1">
      <alignment horizontal="center" vertical="center" wrapText="1"/>
    </xf>
    <xf numFmtId="167" fontId="14" fillId="0" borderId="21" xfId="0" applyNumberFormat="1" applyFont="1" applyBorder="1" applyAlignment="1">
      <alignment horizontal="center" vertical="center" wrapText="1"/>
    </xf>
    <xf numFmtId="2" fontId="6" fillId="0" borderId="19" xfId="0" applyNumberFormat="1" applyFont="1" applyBorder="1" applyAlignment="1">
      <alignment horizontal="center" vertical="center"/>
    </xf>
    <xf numFmtId="167" fontId="6" fillId="0" borderId="20" xfId="0" applyNumberFormat="1" applyFont="1" applyBorder="1" applyAlignment="1">
      <alignment horizontal="center" vertical="center" wrapText="1"/>
    </xf>
    <xf numFmtId="167" fontId="6" fillId="0" borderId="22" xfId="0" applyNumberFormat="1" applyFont="1" applyBorder="1" applyAlignment="1">
      <alignment horizontal="center" vertical="center"/>
    </xf>
    <xf numFmtId="167" fontId="15" fillId="0" borderId="23" xfId="0" applyNumberFormat="1" applyFont="1" applyBorder="1" applyAlignment="1">
      <alignment horizontal="left" vertical="center"/>
    </xf>
    <xf numFmtId="167" fontId="6" fillId="0" borderId="23" xfId="0" applyNumberFormat="1" applyFont="1" applyBorder="1" applyAlignment="1">
      <alignment horizontal="center" vertical="center"/>
    </xf>
    <xf numFmtId="167" fontId="15" fillId="0" borderId="23" xfId="0" applyNumberFormat="1" applyFont="1" applyBorder="1" applyAlignment="1">
      <alignment horizontal="center" vertical="center"/>
    </xf>
    <xf numFmtId="167" fontId="15" fillId="0" borderId="23" xfId="0" applyNumberFormat="1" applyFont="1" applyBorder="1" applyAlignment="1">
      <alignment horizontal="left" vertical="center" wrapText="1"/>
    </xf>
    <xf numFmtId="167" fontId="15" fillId="0" borderId="24" xfId="0" applyNumberFormat="1" applyFont="1" applyBorder="1" applyAlignment="1">
      <alignment horizontal="left" vertical="center" wrapText="1"/>
    </xf>
    <xf numFmtId="44" fontId="17" fillId="0" borderId="2" xfId="0" applyNumberFormat="1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2" fontId="6" fillId="0" borderId="15" xfId="0" applyNumberFormat="1" applyFont="1" applyBorder="1" applyAlignment="1">
      <alignment horizontal="center" vertical="center"/>
    </xf>
    <xf numFmtId="167" fontId="6" fillId="0" borderId="26" xfId="0" applyNumberFormat="1" applyFont="1" applyBorder="1" applyAlignment="1">
      <alignment horizontal="center" vertical="center"/>
    </xf>
    <xf numFmtId="169" fontId="6" fillId="0" borderId="15" xfId="0" applyNumberFormat="1" applyFont="1" applyBorder="1" applyAlignment="1">
      <alignment horizontal="center" vertical="center"/>
    </xf>
    <xf numFmtId="169" fontId="15" fillId="0" borderId="26" xfId="0" applyNumberFormat="1" applyFont="1" applyBorder="1" applyAlignment="1">
      <alignment horizontal="center" vertical="center"/>
    </xf>
    <xf numFmtId="169" fontId="15" fillId="0" borderId="15" xfId="0" applyNumberFormat="1" applyFont="1" applyBorder="1" applyAlignment="1">
      <alignment horizontal="center" vertical="center"/>
    </xf>
    <xf numFmtId="169" fontId="6" fillId="0" borderId="27" xfId="0" applyNumberFormat="1" applyFont="1" applyBorder="1" applyAlignment="1">
      <alignment horizontal="center" vertical="center"/>
    </xf>
    <xf numFmtId="169" fontId="6" fillId="0" borderId="28" xfId="0" applyNumberFormat="1" applyFont="1" applyBorder="1" applyAlignment="1">
      <alignment horizontal="center" vertical="center"/>
    </xf>
    <xf numFmtId="169" fontId="6" fillId="0" borderId="29" xfId="0" applyNumberFormat="1" applyFont="1" applyBorder="1" applyAlignment="1">
      <alignment horizontal="center" vertical="center"/>
    </xf>
    <xf numFmtId="0" fontId="8" fillId="0" borderId="0" xfId="0" applyNumberFormat="1" applyFont="1" applyAlignment="1">
      <alignment vertical="center"/>
    </xf>
    <xf numFmtId="0" fontId="8" fillId="0" borderId="0" xfId="0" applyNumberFormat="1" applyFont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4" fontId="1" fillId="0" borderId="3" xfId="3" applyFont="1" applyFill="1" applyBorder="1" applyAlignment="1">
      <alignment horizontal="center" vertical="center"/>
    </xf>
    <xf numFmtId="44" fontId="8" fillId="0" borderId="0" xfId="0" applyNumberFormat="1" applyFont="1" applyAlignment="1">
      <alignment horizontal="center" vertical="center"/>
    </xf>
    <xf numFmtId="167" fontId="14" fillId="0" borderId="8" xfId="0" applyNumberFormat="1" applyFont="1" applyBorder="1" applyAlignment="1">
      <alignment horizontal="center" vertical="center" wrapText="1"/>
    </xf>
    <xf numFmtId="167" fontId="6" fillId="0" borderId="32" xfId="0" applyNumberFormat="1" applyFont="1" applyBorder="1" applyAlignment="1">
      <alignment horizontal="center" vertical="center"/>
    </xf>
    <xf numFmtId="169" fontId="15" fillId="0" borderId="32" xfId="0" applyNumberFormat="1" applyFont="1" applyBorder="1" applyAlignment="1">
      <alignment horizontal="center" vertical="center"/>
    </xf>
    <xf numFmtId="167" fontId="6" fillId="0" borderId="33" xfId="0" applyNumberFormat="1" applyFont="1" applyBorder="1" applyAlignment="1">
      <alignment horizontal="center" vertical="center"/>
    </xf>
    <xf numFmtId="167" fontId="6" fillId="0" borderId="34" xfId="0" applyNumberFormat="1" applyFont="1" applyBorder="1" applyAlignment="1">
      <alignment horizontal="center" vertical="center"/>
    </xf>
    <xf numFmtId="167" fontId="6" fillId="0" borderId="35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0" borderId="0" xfId="0" applyNumberFormat="1" applyFont="1" applyAlignment="1">
      <alignment horizontal="left" vertical="center"/>
    </xf>
    <xf numFmtId="0" fontId="6" fillId="0" borderId="0" xfId="1" applyNumberFormat="1" applyFont="1" applyBorder="1" applyAlignment="1">
      <alignment horizontal="left" vertical="center"/>
    </xf>
    <xf numFmtId="0" fontId="7" fillId="0" borderId="0" xfId="0" applyNumberFormat="1" applyFont="1" applyAlignment="1">
      <alignment horizontal="left" vertical="center"/>
    </xf>
    <xf numFmtId="0" fontId="9" fillId="0" borderId="0" xfId="0" applyNumberFormat="1" applyFont="1" applyAlignment="1">
      <alignment horizontal="left" vertical="center"/>
    </xf>
    <xf numFmtId="0" fontId="10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/>
    </xf>
    <xf numFmtId="0" fontId="13" fillId="0" borderId="16" xfId="0" applyFont="1" applyBorder="1" applyAlignment="1">
      <alignment horizontal="left" vertical="center" wrapText="1"/>
    </xf>
    <xf numFmtId="0" fontId="6" fillId="0" borderId="25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44" fontId="17" fillId="0" borderId="3" xfId="0" applyNumberFormat="1" applyFont="1" applyBorder="1" applyAlignment="1">
      <alignment vertical="center"/>
    </xf>
    <xf numFmtId="167" fontId="14" fillId="0" borderId="30" xfId="0" applyNumberFormat="1" applyFont="1" applyBorder="1" applyAlignment="1">
      <alignment horizontal="center" vertical="center" wrapText="1"/>
    </xf>
    <xf numFmtId="167" fontId="14" fillId="0" borderId="5" xfId="0" applyNumberFormat="1" applyFont="1" applyBorder="1" applyAlignment="1">
      <alignment horizontal="center" vertical="center" wrapText="1"/>
    </xf>
    <xf numFmtId="167" fontId="14" fillId="0" borderId="9" xfId="0" applyNumberFormat="1" applyFont="1" applyBorder="1" applyAlignment="1">
      <alignment horizontal="center" vertical="center" wrapText="1"/>
    </xf>
    <xf numFmtId="0" fontId="6" fillId="0" borderId="31" xfId="0" applyFont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44" fontId="17" fillId="0" borderId="11" xfId="0" applyNumberFormat="1" applyFont="1" applyBorder="1" applyAlignment="1">
      <alignment vertical="center"/>
    </xf>
    <xf numFmtId="44" fontId="17" fillId="0" borderId="12" xfId="0" applyNumberFormat="1" applyFont="1" applyBorder="1" applyAlignment="1">
      <alignment vertical="center"/>
    </xf>
    <xf numFmtId="0" fontId="26" fillId="0" borderId="19" xfId="0" applyNumberFormat="1" applyFont="1" applyFill="1" applyBorder="1" applyAlignment="1" applyProtection="1">
      <alignment horizontal="left" vertical="center"/>
    </xf>
    <xf numFmtId="0" fontId="26" fillId="0" borderId="16" xfId="0" applyNumberFormat="1" applyFont="1" applyFill="1" applyBorder="1" applyAlignment="1" applyProtection="1">
      <alignment horizontal="left" vertical="center"/>
    </xf>
    <xf numFmtId="0" fontId="26" fillId="0" borderId="16" xfId="0" applyNumberFormat="1" applyFont="1" applyFill="1" applyBorder="1" applyAlignment="1" applyProtection="1">
      <alignment horizontal="center" vertical="center"/>
    </xf>
    <xf numFmtId="44" fontId="26" fillId="0" borderId="17" xfId="0" applyNumberFormat="1" applyFont="1" applyFill="1" applyBorder="1" applyAlignment="1" applyProtection="1">
      <alignment horizontal="right" vertical="center"/>
    </xf>
    <xf numFmtId="0" fontId="26" fillId="0" borderId="10" xfId="0" applyNumberFormat="1" applyFont="1" applyFill="1" applyBorder="1" applyAlignment="1" applyProtection="1">
      <alignment horizontal="left" vertical="center"/>
    </xf>
    <xf numFmtId="0" fontId="26" fillId="0" borderId="11" xfId="0" applyNumberFormat="1" applyFont="1" applyFill="1" applyBorder="1" applyAlignment="1" applyProtection="1">
      <alignment horizontal="left" vertical="center"/>
    </xf>
    <xf numFmtId="0" fontId="26" fillId="0" borderId="11" xfId="0" applyNumberFormat="1" applyFont="1" applyFill="1" applyBorder="1" applyAlignment="1" applyProtection="1">
      <alignment horizontal="center" vertical="center"/>
    </xf>
    <xf numFmtId="44" fontId="26" fillId="0" borderId="12" xfId="0" applyNumberFormat="1" applyFont="1" applyFill="1" applyBorder="1" applyAlignment="1" applyProtection="1">
      <alignment horizontal="right" vertic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38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4" formatCode="_ &quot;₹&quot;\ * #,##0.00_ ;_ &quot;₹&quot;\ * \-#,##0.00_ ;_ &quot;₹&quot;\ * &quot;-&quot;??_ ;_ @_ 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0.00_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Consolas"/>
        <family val="3"/>
        <scheme val="none"/>
      </font>
      <numFmt numFmtId="34" formatCode="_ &quot;₹&quot;\ * #,##0.00_ ;_ &quot;₹&quot;\ * \-#,##0.00_ ;_ &quot;₹&quot;\ * &quot;-&quot;??_ ;_ @_ 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Consolas"/>
        <family val="3"/>
        <scheme val="none"/>
      </font>
      <numFmt numFmtId="34" formatCode="_ &quot;₹&quot;\ * #,##0.00_ ;_ &quot;₹&quot;\ * \-#,##0.00_ ;_ &quot;₹&quot;\ * &quot;-&quot;??_ ;_ @_ 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Consolas"/>
        <family val="3"/>
        <scheme val="none"/>
      </font>
      <numFmt numFmtId="34" formatCode="_ &quot;₹&quot;\ * #,##0.00_ ;_ &quot;₹&quot;\ * \-#,##0.00_ ;_ &quot;₹&quot;\ * &quot;-&quot;??_ ;_ @_ 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&quot;₹&quot;* #,##0.00_);_(&quot;₹&quot;* \(#,##0.00\);_(&quot;₹&quot;* &quot;-&quot;??_);_(@_)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718"/>
        <name val="Helvetica"/>
        <family val="2"/>
        <scheme val="none"/>
      </font>
      <numFmt numFmtId="165" formatCode="_ [$₹-4009]\ * #,##0.00_ ;_ [$₹-4009]\ * \-#,##0.00_ ;_ [$₹-4009]\ * &quot;-&quot;??_ ;_ @_ 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718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718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718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718"/>
        <name val="Helvetica"/>
        <family val="2"/>
        <scheme val="none"/>
      </font>
      <numFmt numFmtId="164" formatCode="_(&quot;₹&quot;* #,##0.00_);_(&quot;₹&quot;* \(#,##0.00\);_(&quot;₹&quot;* &quot;-&quot;??_);_(@_)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718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718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718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577850</xdr:colOff>
      <xdr:row>19</xdr:row>
      <xdr:rowOff>120650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C71A0BB-AB21-46C5-AE71-3EBDA0E1B6D5}"/>
            </a:ext>
          </a:extLst>
        </xdr:cNvPr>
        <xdr:cNvSpPr txBox="1"/>
      </xdr:nvSpPr>
      <xdr:spPr>
        <a:xfrm>
          <a:off x="10340975" y="3930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SOR%20DATABASE/TN_SPWD_SOR_DATABASE.xlsx" TargetMode="External"/><Relationship Id="rId2" Type="http://schemas.openxmlformats.org/officeDocument/2006/relationships/externalLinkPath" Target="file:///G:\02.%20M.ARCH\SEM%2004\01.%20THESIS\SOR%20DATABASE\TN_SPWD_SOR_DATABASE.xlsx" TargetMode="External"/><Relationship Id="rId1" Type="http://schemas.openxmlformats.org/officeDocument/2006/relationships/externalLinkPath" Target="/02.%20M.ARCH/SEM%2004/01.%20THESIS/SOR%20DATABASE/TN_SPWD_SOR_DATA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mil Nadu SOR data - Labour"/>
      <sheetName val="Tamil Nadu SOR data - Material"/>
      <sheetName val="Tamil Nadu SOR data - Work"/>
    </sheetNames>
    <sheetDataSet>
      <sheetData sheetId="0">
        <row r="1">
          <cell r="A1" t="str">
            <v>Unique_Code</v>
          </cell>
          <cell r="B1" t="str">
            <v>Description</v>
          </cell>
          <cell r="C1" t="str">
            <v>Unit</v>
          </cell>
          <cell r="D1" t="str">
            <v>Base_Rate</v>
          </cell>
        </row>
        <row r="2">
          <cell r="A2" t="str">
            <v>I</v>
          </cell>
          <cell r="B2" t="str">
            <v>HIGHLY SKILLED CATEGORY</v>
          </cell>
          <cell r="C2"/>
          <cell r="D2"/>
        </row>
        <row r="3">
          <cell r="A3" t="str">
            <v>L-0001</v>
          </cell>
          <cell r="B3" t="str">
            <v>Technical Assistant Grade-I (B.E.Passed)</v>
          </cell>
          <cell r="C3" t="str">
            <v>Day</v>
          </cell>
          <cell r="D3">
            <v>1430</v>
          </cell>
        </row>
        <row r="4">
          <cell r="A4" t="str">
            <v>L-0002</v>
          </cell>
          <cell r="B4" t="str">
            <v>Technical Assistant Grade-II (Diploma in Engg. Passed / B.E. Failed / Degree in Geology for Ground Water Works)</v>
          </cell>
          <cell r="C4" t="str">
            <v>Day</v>
          </cell>
          <cell r="D4">
            <v>1289</v>
          </cell>
        </row>
        <row r="5">
          <cell r="A5" t="str">
            <v>L-0003</v>
          </cell>
          <cell r="B5" t="str">
            <v>Technical Assistant Grade-III (Diploma in Engg. Failed / ITI (Civil) Passed)</v>
          </cell>
          <cell r="C5" t="str">
            <v>Day</v>
          </cell>
          <cell r="D5">
            <v>1089</v>
          </cell>
        </row>
        <row r="6">
          <cell r="A6" t="str">
            <v>L-0004</v>
          </cell>
          <cell r="B6" t="str">
            <v>Cinema Operator (ITI Passed)</v>
          </cell>
          <cell r="C6" t="str">
            <v>Day</v>
          </cell>
          <cell r="D6">
            <v>897</v>
          </cell>
        </row>
        <row r="7">
          <cell r="A7" t="str">
            <v>L-0009</v>
          </cell>
          <cell r="B7" t="str">
            <v>Computer Operator Grade-I [B.E. (Computer Science) / M.Sc., (Computer Science)]</v>
          </cell>
          <cell r="C7" t="str">
            <v>Day</v>
          </cell>
          <cell r="D7">
            <v>1430</v>
          </cell>
        </row>
        <row r="8">
          <cell r="A8" t="str">
            <v>L-0010</v>
          </cell>
          <cell r="B8" t="str">
            <v>Computer Operator Grade-II [B.Sc. (Computer Science) / Diploma in Computer Science]</v>
          </cell>
          <cell r="C8" t="str">
            <v>Day</v>
          </cell>
          <cell r="D8">
            <v>1289</v>
          </cell>
        </row>
        <row r="9">
          <cell r="A9" t="str">
            <v>L-0013</v>
          </cell>
          <cell r="B9" t="str">
            <v>Wireman Grade-I / Electrician Grade-I</v>
          </cell>
          <cell r="C9" t="str">
            <v>Day</v>
          </cell>
          <cell r="D9">
            <v>971</v>
          </cell>
        </row>
        <row r="10">
          <cell r="A10" t="str">
            <v>L-0130</v>
          </cell>
          <cell r="B10" t="str">
            <v>Architect Assistant - Grade I (B.Arch Passed)</v>
          </cell>
          <cell r="C10" t="str">
            <v>Day</v>
          </cell>
          <cell r="D10">
            <v>1430</v>
          </cell>
        </row>
        <row r="11">
          <cell r="A11" t="str">
            <v>L-0131</v>
          </cell>
          <cell r="B11" t="str">
            <v>Conservation  Architect  Assistant  -  Grade  I  (B.Arch Passed)</v>
          </cell>
          <cell r="C11" t="str">
            <v>Day</v>
          </cell>
          <cell r="D11">
            <v>1430</v>
          </cell>
        </row>
        <row r="12">
          <cell r="A12" t="str">
            <v>II</v>
          </cell>
          <cell r="B12" t="str">
            <v>SKILLED CATEGORY</v>
          </cell>
          <cell r="C12"/>
          <cell r="D12"/>
        </row>
        <row r="13">
          <cell r="A13" t="str">
            <v>L-0014</v>
          </cell>
          <cell r="B13" t="str">
            <v>Blacksmith-I Class</v>
          </cell>
          <cell r="C13" t="str">
            <v>Day</v>
          </cell>
          <cell r="D13">
            <v>904</v>
          </cell>
        </row>
        <row r="14">
          <cell r="A14" t="str">
            <v>L-0016</v>
          </cell>
          <cell r="B14" t="str">
            <v>Carpenter-I Class</v>
          </cell>
          <cell r="C14" t="str">
            <v>Day</v>
          </cell>
          <cell r="D14">
            <v>1148</v>
          </cell>
        </row>
        <row r="15">
          <cell r="A15" t="str">
            <v>L-0017</v>
          </cell>
          <cell r="B15" t="str">
            <v>Cleaner-First Grade</v>
          </cell>
          <cell r="C15" t="str">
            <v>Day</v>
          </cell>
          <cell r="D15">
            <v>609</v>
          </cell>
        </row>
        <row r="16">
          <cell r="A16" t="str">
            <v>L-0018</v>
          </cell>
          <cell r="B16" t="str">
            <v>Fitter-I Class</v>
          </cell>
          <cell r="C16" t="str">
            <v>Day</v>
          </cell>
          <cell r="D16">
            <v>1036</v>
          </cell>
        </row>
        <row r="17">
          <cell r="A17" t="str">
            <v>L-0019</v>
          </cell>
          <cell r="B17" t="str">
            <v>Fitter (Pipe Laying / Bar Bending)-I Class</v>
          </cell>
          <cell r="C17" t="str">
            <v>Day</v>
          </cell>
          <cell r="D17">
            <v>1018</v>
          </cell>
        </row>
        <row r="18">
          <cell r="A18" t="str">
            <v>L-0020</v>
          </cell>
          <cell r="B18" t="str">
            <v>Floor Polisher</v>
          </cell>
          <cell r="C18" t="str">
            <v>Day</v>
          </cell>
          <cell r="D18">
            <v>904</v>
          </cell>
        </row>
        <row r="19">
          <cell r="A19" t="str">
            <v>L-0021</v>
          </cell>
          <cell r="B19" t="str">
            <v>Hammer Mazdoor</v>
          </cell>
          <cell r="C19" t="str">
            <v>Day</v>
          </cell>
          <cell r="D19">
            <v>726</v>
          </cell>
        </row>
        <row r="20">
          <cell r="A20" t="str">
            <v>L-0023</v>
          </cell>
          <cell r="B20" t="str">
            <v>Driver (Light Duty)</v>
          </cell>
          <cell r="C20" t="str">
            <v>Day</v>
          </cell>
          <cell r="D20">
            <v>904</v>
          </cell>
        </row>
        <row r="21">
          <cell r="A21" t="str">
            <v>L-0024</v>
          </cell>
          <cell r="B21" t="str">
            <v>Driver (Heavy Duty)</v>
          </cell>
          <cell r="C21" t="str">
            <v>Day</v>
          </cell>
          <cell r="D21">
            <v>965</v>
          </cell>
        </row>
        <row r="22">
          <cell r="A22" t="str">
            <v>L-0025</v>
          </cell>
          <cell r="B22" t="str">
            <v>Maistry, Road Inspector &amp; Work Inspector</v>
          </cell>
          <cell r="C22" t="str">
            <v>Day</v>
          </cell>
          <cell r="D22">
            <v>870.9</v>
          </cell>
        </row>
        <row r="23">
          <cell r="A23" t="str">
            <v>L-0026</v>
          </cell>
          <cell r="B23" t="str">
            <v>Maistry,  Road  Inspector  &amp;  Work  Inspector  (Degree Holder)</v>
          </cell>
          <cell r="C23" t="str">
            <v>Day</v>
          </cell>
          <cell r="D23">
            <v>965</v>
          </cell>
        </row>
        <row r="24">
          <cell r="A24" t="str">
            <v>L-0027</v>
          </cell>
          <cell r="B24" t="str">
            <v>Skilled Mason Class-I for Heritage Work</v>
          </cell>
          <cell r="C24" t="str">
            <v>Day</v>
          </cell>
          <cell r="D24">
            <v>1657</v>
          </cell>
        </row>
        <row r="25">
          <cell r="A25" t="str">
            <v>L-0028</v>
          </cell>
          <cell r="B25" t="str">
            <v>Skilled Mason Class-II for Heritage Work</v>
          </cell>
          <cell r="C25" t="str">
            <v>Day</v>
          </cell>
          <cell r="D25">
            <v>1449</v>
          </cell>
        </row>
        <row r="26">
          <cell r="A26" t="str">
            <v>L-0029</v>
          </cell>
          <cell r="B26" t="str">
            <v>Mason for Brick Work-I Class</v>
          </cell>
          <cell r="C26" t="str">
            <v>Day</v>
          </cell>
          <cell r="D26">
            <v>1174</v>
          </cell>
        </row>
        <row r="27">
          <cell r="A27" t="str">
            <v>L-0030</v>
          </cell>
          <cell r="B27" t="str">
            <v>Skilled Sthapathy Brick Mason for Heritage Work</v>
          </cell>
          <cell r="C27" t="str">
            <v>Day</v>
          </cell>
          <cell r="D27">
            <v>2072</v>
          </cell>
        </row>
        <row r="28">
          <cell r="A28" t="str">
            <v>L-0031</v>
          </cell>
          <cell r="B28" t="str">
            <v>Mason for Stone Work-I Class</v>
          </cell>
          <cell r="C28" t="str">
            <v>Day</v>
          </cell>
          <cell r="D28">
            <v>1174</v>
          </cell>
        </row>
        <row r="29">
          <cell r="A29" t="str">
            <v>L-0032</v>
          </cell>
          <cell r="B29" t="str">
            <v>Skilled Sthapathy Stone Mason for Heritage Work</v>
          </cell>
          <cell r="C29" t="str">
            <v>Day</v>
          </cell>
          <cell r="D29">
            <v>2072</v>
          </cell>
        </row>
        <row r="30">
          <cell r="A30" t="str">
            <v>L-0033</v>
          </cell>
          <cell r="B30" t="str">
            <v>Mechanic-I Class</v>
          </cell>
          <cell r="C30" t="str">
            <v>Day</v>
          </cell>
          <cell r="D30">
            <v>904</v>
          </cell>
        </row>
        <row r="31">
          <cell r="A31" t="str">
            <v>L-0036</v>
          </cell>
          <cell r="B31" t="str">
            <v>Painter / Varnisher-I Class</v>
          </cell>
          <cell r="C31" t="str">
            <v>Day</v>
          </cell>
          <cell r="D31">
            <v>937</v>
          </cell>
        </row>
        <row r="32">
          <cell r="A32" t="str">
            <v>L-0037</v>
          </cell>
          <cell r="B32" t="str">
            <v>Pile Driver</v>
          </cell>
          <cell r="C32" t="str">
            <v>Day</v>
          </cell>
          <cell r="D32">
            <v>832</v>
          </cell>
        </row>
        <row r="33">
          <cell r="A33" t="str">
            <v>L-0038</v>
          </cell>
          <cell r="B33" t="str">
            <v>Plumber-I Class</v>
          </cell>
          <cell r="C33" t="str">
            <v>Day</v>
          </cell>
          <cell r="D33">
            <v>1018</v>
          </cell>
        </row>
        <row r="34">
          <cell r="A34" t="str">
            <v>L-0039</v>
          </cell>
          <cell r="B34" t="str">
            <v>Sawyer</v>
          </cell>
          <cell r="C34" t="str">
            <v>Day</v>
          </cell>
          <cell r="D34">
            <v>832</v>
          </cell>
        </row>
        <row r="35">
          <cell r="A35" t="str">
            <v>L-0040</v>
          </cell>
          <cell r="B35" t="str">
            <v>Smith-I Class</v>
          </cell>
          <cell r="C35" t="str">
            <v>Day</v>
          </cell>
          <cell r="D35">
            <v>900</v>
          </cell>
        </row>
        <row r="36">
          <cell r="A36" t="str">
            <v>L-0041</v>
          </cell>
          <cell r="B36" t="str">
            <v>Stone Cutter-I Class</v>
          </cell>
          <cell r="C36" t="str">
            <v>Day</v>
          </cell>
          <cell r="D36">
            <v>900</v>
          </cell>
        </row>
        <row r="37">
          <cell r="A37" t="str">
            <v>L-0042</v>
          </cell>
          <cell r="B37" t="str">
            <v>Syrang-I Class</v>
          </cell>
          <cell r="C37" t="str">
            <v>Day</v>
          </cell>
          <cell r="D37">
            <v>900</v>
          </cell>
        </row>
        <row r="38">
          <cell r="A38" t="str">
            <v>L-0043</v>
          </cell>
          <cell r="B38" t="str">
            <v>Tinker-I Class</v>
          </cell>
          <cell r="C38" t="str">
            <v>Day</v>
          </cell>
          <cell r="D38">
            <v>726</v>
          </cell>
        </row>
        <row r="39">
          <cell r="A39" t="str">
            <v>L-0044</v>
          </cell>
          <cell r="B39" t="str">
            <v>Turner-I Class</v>
          </cell>
          <cell r="C39" t="str">
            <v>Day</v>
          </cell>
          <cell r="D39">
            <v>832</v>
          </cell>
        </row>
        <row r="40">
          <cell r="A40" t="str">
            <v>L-0045</v>
          </cell>
          <cell r="B40" t="str">
            <v>Time Keeper-I Class</v>
          </cell>
          <cell r="C40" t="str">
            <v>Day</v>
          </cell>
          <cell r="D40">
            <v>900</v>
          </cell>
        </row>
        <row r="41">
          <cell r="A41" t="str">
            <v>L-0046</v>
          </cell>
          <cell r="B41" t="str">
            <v>Welder / Bracer-I Class</v>
          </cell>
          <cell r="C41" t="str">
            <v>Day</v>
          </cell>
          <cell r="D41">
            <v>900</v>
          </cell>
        </row>
        <row r="42">
          <cell r="A42" t="str">
            <v>L-0050</v>
          </cell>
          <cell r="B42" t="str">
            <v>Wodder</v>
          </cell>
          <cell r="C42" t="str">
            <v>Day</v>
          </cell>
          <cell r="D42">
            <v>757</v>
          </cell>
        </row>
        <row r="43">
          <cell r="A43" t="str">
            <v>L-0051</v>
          </cell>
          <cell r="B43" t="str">
            <v>Compressor Operator</v>
          </cell>
          <cell r="C43" t="str">
            <v>Day</v>
          </cell>
          <cell r="D43">
            <v>796</v>
          </cell>
        </row>
        <row r="44">
          <cell r="A44" t="str">
            <v>L-0053</v>
          </cell>
          <cell r="B44" t="str">
            <v>Stone &amp; Crusher Operator</v>
          </cell>
          <cell r="C44" t="str">
            <v>Day</v>
          </cell>
          <cell r="D44">
            <v>796</v>
          </cell>
        </row>
        <row r="45">
          <cell r="A45" t="str">
            <v>L-0054</v>
          </cell>
          <cell r="B45" t="str">
            <v>Wireman Grade-II / Electrician Grade-II</v>
          </cell>
          <cell r="C45" t="str">
            <v>Day</v>
          </cell>
          <cell r="D45">
            <v>965</v>
          </cell>
        </row>
        <row r="46">
          <cell r="A46" t="str">
            <v>L-0055</v>
          </cell>
          <cell r="B46" t="str">
            <v>Lift Operator</v>
          </cell>
          <cell r="C46" t="str">
            <v>Day</v>
          </cell>
          <cell r="D46">
            <v>870</v>
          </cell>
        </row>
        <row r="47">
          <cell r="A47" t="str">
            <v>L-0056</v>
          </cell>
          <cell r="B47" t="str">
            <v>Laboratory Attendant</v>
          </cell>
          <cell r="C47" t="str">
            <v>Day</v>
          </cell>
          <cell r="D47">
            <v>648</v>
          </cell>
        </row>
        <row r="48">
          <cell r="A48" t="str">
            <v>L-0057</v>
          </cell>
          <cell r="B48" t="str">
            <v>Sound Service Operator</v>
          </cell>
          <cell r="C48" t="str">
            <v>Day</v>
          </cell>
          <cell r="D48">
            <v>726</v>
          </cell>
        </row>
        <row r="49">
          <cell r="A49" t="str">
            <v>L-0058</v>
          </cell>
          <cell r="B49" t="str">
            <v>Electrical Maistry</v>
          </cell>
          <cell r="C49" t="str">
            <v>Day</v>
          </cell>
          <cell r="D49">
            <v>1113</v>
          </cell>
        </row>
        <row r="50">
          <cell r="A50" t="str">
            <v>III</v>
          </cell>
          <cell r="B50" t="str">
            <v>SEMI SKILLED CATEGORY</v>
          </cell>
          <cell r="C50"/>
          <cell r="D50"/>
        </row>
        <row r="51">
          <cell r="A51" t="str">
            <v>L-0059</v>
          </cell>
          <cell r="B51" t="str">
            <v>Axe Mazdoor</v>
          </cell>
          <cell r="C51" t="str">
            <v>Day</v>
          </cell>
          <cell r="D51">
            <v>714</v>
          </cell>
        </row>
        <row r="52">
          <cell r="A52" t="str">
            <v>L-0060</v>
          </cell>
          <cell r="B52" t="str">
            <v>Blacksmith-II Class</v>
          </cell>
          <cell r="C52" t="str">
            <v>Day</v>
          </cell>
          <cell r="D52">
            <v>867</v>
          </cell>
        </row>
        <row r="53">
          <cell r="A53" t="str">
            <v>L-0061</v>
          </cell>
          <cell r="B53" t="str">
            <v>Bullocks Pair with Driver (with Bandy)</v>
          </cell>
          <cell r="C53" t="str">
            <v>Day</v>
          </cell>
          <cell r="D53">
            <v>1416</v>
          </cell>
        </row>
        <row r="54">
          <cell r="A54" t="str">
            <v>L-0062</v>
          </cell>
          <cell r="B54" t="str">
            <v>Bullocks Single with Driver (with Bandy)</v>
          </cell>
          <cell r="C54" t="str">
            <v>Day</v>
          </cell>
          <cell r="D54">
            <v>1018</v>
          </cell>
        </row>
        <row r="55">
          <cell r="A55" t="str">
            <v>L-0063</v>
          </cell>
          <cell r="B55" t="str">
            <v>Carpenter-II Class</v>
          </cell>
          <cell r="C55" t="str">
            <v>Day</v>
          </cell>
          <cell r="D55">
            <v>1096</v>
          </cell>
        </row>
        <row r="56">
          <cell r="A56" t="str">
            <v>L-0065</v>
          </cell>
          <cell r="B56" t="str">
            <v>Cleaner-Second Grade</v>
          </cell>
          <cell r="C56" t="str">
            <v>Day</v>
          </cell>
          <cell r="D56">
            <v>603</v>
          </cell>
        </row>
        <row r="57">
          <cell r="A57" t="str">
            <v>L-0067</v>
          </cell>
          <cell r="B57" t="str">
            <v>Fitter-II Class</v>
          </cell>
          <cell r="C57" t="str">
            <v>Day</v>
          </cell>
          <cell r="D57">
            <v>1006</v>
          </cell>
        </row>
        <row r="58">
          <cell r="A58" t="str">
            <v>L-0068</v>
          </cell>
          <cell r="B58" t="str">
            <v>Fitter (Pipe Laying / Bar Bending)-II Class</v>
          </cell>
          <cell r="C58" t="str">
            <v>Day</v>
          </cell>
          <cell r="D58">
            <v>986</v>
          </cell>
        </row>
        <row r="59">
          <cell r="A59" t="str">
            <v>L-0069</v>
          </cell>
          <cell r="B59" t="str">
            <v>Gardener</v>
          </cell>
          <cell r="C59" t="str">
            <v>Day</v>
          </cell>
          <cell r="D59">
            <v>714</v>
          </cell>
        </row>
        <row r="60">
          <cell r="A60" t="str">
            <v>L-0070</v>
          </cell>
          <cell r="B60" t="str">
            <v>Jumper Mazdoor</v>
          </cell>
          <cell r="C60" t="str">
            <v>Day</v>
          </cell>
          <cell r="D60">
            <v>714</v>
          </cell>
        </row>
        <row r="61">
          <cell r="A61" t="str">
            <v>L-0071</v>
          </cell>
          <cell r="B61" t="str">
            <v>Mason for Brick Work-II Class</v>
          </cell>
          <cell r="C61" t="str">
            <v>Day</v>
          </cell>
          <cell r="D61">
            <v>1096</v>
          </cell>
        </row>
        <row r="62">
          <cell r="A62" t="str">
            <v>L-0072</v>
          </cell>
          <cell r="B62" t="str">
            <v>Mason for Stone Work-II Class</v>
          </cell>
          <cell r="C62" t="str">
            <v>Day</v>
          </cell>
          <cell r="D62">
            <v>1096</v>
          </cell>
        </row>
        <row r="63">
          <cell r="A63" t="str">
            <v>L-0073</v>
          </cell>
          <cell r="B63" t="str">
            <v>Mazdoor Category-I</v>
          </cell>
          <cell r="C63" t="str">
            <v>Day</v>
          </cell>
          <cell r="D63">
            <v>766</v>
          </cell>
        </row>
        <row r="64">
          <cell r="A64" t="str">
            <v>L-0074</v>
          </cell>
          <cell r="B64" t="str">
            <v>Head Mazdoor</v>
          </cell>
          <cell r="C64" t="str">
            <v>Day</v>
          </cell>
          <cell r="D64">
            <v>792</v>
          </cell>
        </row>
        <row r="65">
          <cell r="A65" t="str">
            <v>L-0075</v>
          </cell>
          <cell r="B65" t="str">
            <v>Mechanic-II Class</v>
          </cell>
          <cell r="C65" t="str">
            <v>Day</v>
          </cell>
          <cell r="D65">
            <v>867</v>
          </cell>
        </row>
        <row r="66">
          <cell r="A66" t="str">
            <v>L-0077</v>
          </cell>
          <cell r="B66" t="str">
            <v>Painter / Varnisher-II Class</v>
          </cell>
          <cell r="C66" t="str">
            <v>Day</v>
          </cell>
          <cell r="D66">
            <v>908</v>
          </cell>
        </row>
        <row r="67">
          <cell r="A67" t="str">
            <v>L-0078</v>
          </cell>
          <cell r="B67" t="str">
            <v>Plumber-II Class</v>
          </cell>
          <cell r="C67" t="str">
            <v>Day</v>
          </cell>
          <cell r="D67">
            <v>986</v>
          </cell>
        </row>
        <row r="68">
          <cell r="A68" t="str">
            <v>L-0079</v>
          </cell>
          <cell r="B68" t="str">
            <v>Pump Driver</v>
          </cell>
          <cell r="C68" t="str">
            <v>Day</v>
          </cell>
          <cell r="D68">
            <v>792</v>
          </cell>
        </row>
        <row r="69">
          <cell r="A69" t="str">
            <v>L-0080</v>
          </cell>
          <cell r="B69" t="str">
            <v>Smith-II Class</v>
          </cell>
          <cell r="C69" t="str">
            <v>Day</v>
          </cell>
          <cell r="D69">
            <v>867</v>
          </cell>
        </row>
        <row r="70">
          <cell r="A70" t="str">
            <v>L-0081</v>
          </cell>
          <cell r="B70" t="str">
            <v>Stone Cutter-II Class</v>
          </cell>
          <cell r="C70" t="str">
            <v>Day</v>
          </cell>
          <cell r="D70">
            <v>867</v>
          </cell>
        </row>
        <row r="71">
          <cell r="A71" t="str">
            <v>L-0082</v>
          </cell>
          <cell r="B71" t="str">
            <v>Syrang-II Class</v>
          </cell>
          <cell r="C71" t="str">
            <v>Day</v>
          </cell>
          <cell r="D71">
            <v>867</v>
          </cell>
        </row>
        <row r="72">
          <cell r="A72" t="str">
            <v>L-0083</v>
          </cell>
          <cell r="B72" t="str">
            <v>Thatcher</v>
          </cell>
          <cell r="C72" t="str">
            <v>Day</v>
          </cell>
          <cell r="D72">
            <v>757</v>
          </cell>
        </row>
        <row r="73">
          <cell r="A73" t="str">
            <v>L-0084</v>
          </cell>
          <cell r="B73" t="str">
            <v>Tinker-II Class</v>
          </cell>
          <cell r="C73" t="str">
            <v>Day</v>
          </cell>
          <cell r="D73">
            <v>714</v>
          </cell>
        </row>
        <row r="74">
          <cell r="A74" t="str">
            <v>L-0085</v>
          </cell>
          <cell r="B74" t="str">
            <v>Turner-II Class</v>
          </cell>
          <cell r="C74" t="str">
            <v>Day</v>
          </cell>
          <cell r="D74">
            <v>792</v>
          </cell>
        </row>
        <row r="75">
          <cell r="A75" t="str">
            <v>L-0086</v>
          </cell>
          <cell r="B75" t="str">
            <v>Time Keeper-II Class</v>
          </cell>
          <cell r="C75" t="str">
            <v>Day</v>
          </cell>
          <cell r="D75">
            <v>867</v>
          </cell>
        </row>
        <row r="76">
          <cell r="A76" t="str">
            <v>L-0087</v>
          </cell>
          <cell r="B76" t="str">
            <v>Welder / Bracer-II Class</v>
          </cell>
          <cell r="C76" t="str">
            <v>Day</v>
          </cell>
          <cell r="D76">
            <v>867</v>
          </cell>
        </row>
        <row r="77">
          <cell r="A77" t="str">
            <v>L-0091</v>
          </cell>
          <cell r="B77" t="str">
            <v>Mazdoor employed for Pitting, Trenching, Sampling &amp; Drilling works</v>
          </cell>
          <cell r="C77" t="str">
            <v>Day</v>
          </cell>
          <cell r="D77">
            <v>767</v>
          </cell>
        </row>
        <row r="78">
          <cell r="A78" t="str">
            <v>L-0092</v>
          </cell>
          <cell r="B78" t="str">
            <v>Mazdoor employed for Geophysical investigation works</v>
          </cell>
          <cell r="C78" t="str">
            <v>Day</v>
          </cell>
          <cell r="D78">
            <v>767</v>
          </cell>
        </row>
        <row r="79">
          <cell r="A79" t="str">
            <v>L-0093</v>
          </cell>
          <cell r="B79" t="str">
            <v>Head Mazdoor to supervise exploratory works</v>
          </cell>
          <cell r="C79" t="str">
            <v>Day</v>
          </cell>
          <cell r="D79">
            <v>808</v>
          </cell>
        </row>
        <row r="80">
          <cell r="A80" t="str">
            <v>L-0094</v>
          </cell>
          <cell r="B80" t="str">
            <v>Mixer Operator (including concrete mixer)</v>
          </cell>
          <cell r="C80" t="str">
            <v>Day</v>
          </cell>
          <cell r="D80">
            <v>832</v>
          </cell>
        </row>
        <row r="81">
          <cell r="A81" t="str">
            <v>L-0095</v>
          </cell>
          <cell r="B81" t="str">
            <v>Mixer Driver</v>
          </cell>
          <cell r="C81" t="str">
            <v>Day</v>
          </cell>
          <cell r="D81">
            <v>792</v>
          </cell>
        </row>
        <row r="82">
          <cell r="A82" t="str">
            <v>L-0096</v>
          </cell>
          <cell r="B82" t="str">
            <v>Heavy Mazdoor</v>
          </cell>
          <cell r="C82" t="str">
            <v>Day</v>
          </cell>
          <cell r="D82">
            <v>832</v>
          </cell>
        </row>
        <row r="83">
          <cell r="A83" t="str">
            <v>L-0097</v>
          </cell>
          <cell r="B83" t="str">
            <v>Electrical Helper</v>
          </cell>
          <cell r="C83" t="str">
            <v>Day</v>
          </cell>
          <cell r="D83">
            <v>757</v>
          </cell>
        </row>
        <row r="84">
          <cell r="A84" t="str">
            <v>IV</v>
          </cell>
          <cell r="B84" t="str">
            <v>UN-SKILLED CATEGORY</v>
          </cell>
          <cell r="C84"/>
          <cell r="D84"/>
        </row>
        <row r="85">
          <cell r="A85" t="str">
            <v>L-0098</v>
          </cell>
          <cell r="B85" t="str">
            <v>Mazdoor Category-II</v>
          </cell>
          <cell r="C85" t="str">
            <v>Day</v>
          </cell>
          <cell r="D85">
            <v>628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69C416-8897-43EB-A416-F08591AF0A48}" name="Table1" displayName="Table1" ref="A1:D85" totalsRowShown="0" headerRowBorderDxfId="37" tableBorderDxfId="36">
  <autoFilter ref="A1:D85" xr:uid="{A769C416-8897-43EB-A416-F08591AF0A48}"/>
  <tableColumns count="4">
    <tableColumn id="1" xr3:uid="{883E842F-E927-49E4-8D12-18EC7C8E7BDE}" name="Unique_Code" dataDxfId="35"/>
    <tableColumn id="2" xr3:uid="{95D1274E-583B-4B1D-B115-D28E84F47895}" name="Description" dataDxfId="34"/>
    <tableColumn id="3" xr3:uid="{519ABA67-34A1-47B6-8518-89768FB07A3F}" name="Unit" dataDxfId="33"/>
    <tableColumn id="4" xr3:uid="{7D8A03ED-6CF7-4653-BCFF-12629B56DEAF}" name="Base_Rate" dataDxfId="32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D22DFF-6327-42B2-9C24-1C0BC1AE00E9}" name="Table24" displayName="Table24" ref="A1:D211" totalsRowShown="0" headerRowBorderDxfId="31" tableBorderDxfId="30">
  <autoFilter ref="A1:D211" xr:uid="{C7D22DFF-6327-42B2-9C24-1C0BC1AE00E9}"/>
  <tableColumns count="4">
    <tableColumn id="1" xr3:uid="{816C8BDE-5DAE-4121-9476-4A14CC0A44B4}" name="Unique_Code" dataDxfId="29"/>
    <tableColumn id="2" xr3:uid="{59CF8A8F-BEDE-4038-874B-49CDD37608EA}" name="Description" dataDxfId="28"/>
    <tableColumn id="3" xr3:uid="{DE87295A-A9D0-4798-A26D-F163ECDF85FC}" name="Unit" dataDxfId="27"/>
    <tableColumn id="4" xr3:uid="{9437D7CE-65FE-4908-8DF8-7DCF1C0C69E2}" name="Base_Rate" dataDxfId="26" dataCellStyl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F3CDBC2-6E04-4F43-B0B3-7F5DF64A1F19}" name="Table11" displayName="Table11" ref="A1:D26" totalsRowShown="0" headerRowDxfId="0" headerRowBorderDxfId="6" tableBorderDxfId="7" totalsRowBorderDxfId="5">
  <autoFilter ref="A1:D26" xr:uid="{FF3CDBC2-6E04-4F43-B0B3-7F5DF64A1F19}"/>
  <tableColumns count="4">
    <tableColumn id="1" xr3:uid="{B78C65AE-2CEC-4DDC-B232-155783EF74C2}" name="Unique_Code" dataDxfId="4"/>
    <tableColumn id="2" xr3:uid="{FB34CA5C-C75C-4B28-A091-43CFC90A7CB0}" name="Description" dataDxfId="3"/>
    <tableColumn id="3" xr3:uid="{4562405F-011E-4899-BD27-7D19AD2F341B}" name="Unit" dataDxfId="2"/>
    <tableColumn id="4" xr3:uid="{51367129-C164-4A79-A4FA-9A3B0CEDB76F}" name="Base_Rate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CD2226-8A47-9645-9EEE-B17E20925E86}" name="Table2" displayName="Table2" ref="A1:F52" totalsRowShown="0" headerRowDxfId="25" headerRowBorderDxfId="24" tableBorderDxfId="23" totalsRowBorderDxfId="22">
  <autoFilter ref="A1:F52" xr:uid="{DFCD2226-8A47-9645-9EEE-B17E20925E86}"/>
  <tableColumns count="6">
    <tableColumn id="1" xr3:uid="{887802E7-E288-C347-AAE4-3A637F7EFE58}" name="Work Item Code" dataDxfId="21"/>
    <tableColumn id="2" xr3:uid="{ED90A3B5-0EB2-754B-8384-E89DD09C3976}" name="Package" dataDxfId="20"/>
    <tableColumn id="3" xr3:uid="{AF2361A4-DC63-1648-969C-DEF9F52F500D}" name="Sub-Package" dataDxfId="19"/>
    <tableColumn id="4" xr3:uid="{16FA8781-24EB-F344-BE4F-4AADF81AF677}" name="Description" dataDxfId="18"/>
    <tableColumn id="5" xr3:uid="{F2119C7B-897E-8E4B-9DC1-EE1A35035B24}" name="Amount" dataDxfId="17"/>
    <tableColumn id="7" xr3:uid="{61F8BD4E-A957-AF43-B8CC-14CF0E9D627D}" name="Unit" dataDxfId="16">
      <calculatedColumnFormula>A!E3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F954C1E-EDA4-4D30-8550-A9FF962C5656}" name="Table13" displayName="Table13" ref="A19:E24" totalsRowShown="0" headerRowDxfId="8" headerRowBorderDxfId="14" tableBorderDxfId="15">
  <autoFilter ref="A19:E24" xr:uid="{7F954C1E-EDA4-4D30-8550-A9FF962C5656}"/>
  <tableColumns count="5">
    <tableColumn id="1" xr3:uid="{D348510A-AB3E-43AC-A734-BDE8294CF425}" name="Items" dataDxfId="13"/>
    <tableColumn id="2" xr3:uid="{B43251B4-766B-4507-9091-95D4A4358E02}" name="Distance_x000a_(Km)" dataDxfId="12"/>
    <tableColumn id="3" xr3:uid="{C9D35116-5B7F-4DC6-B3F7-C30DECAC104C}" name="Total Transport Charges" dataDxfId="11"/>
    <tableColumn id="4" xr3:uid="{FCB50D53-D459-49B0-863E-145D14EF786F}" name="Total Lift Charges" dataDxfId="10"/>
    <tableColumn id="5" xr3:uid="{B694B712-89AB-401F-A74E-39907ED3F7C8}" name="Total Charges" dataDxfId="9">
      <calculatedColumnFormula>SUM(C20:D20)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435C-0DB2-40D3-97A0-EEE2CC8EFC4B}">
  <dimension ref="A1:D85"/>
  <sheetViews>
    <sheetView zoomScale="85" zoomScaleNormal="85" workbookViewId="0">
      <selection activeCell="A26" sqref="A26"/>
    </sheetView>
  </sheetViews>
  <sheetFormatPr defaultRowHeight="15.75" x14ac:dyDescent="0.25"/>
  <cols>
    <col min="1" max="1" width="14.375" customWidth="1"/>
    <col min="2" max="2" width="100.875" style="79" customWidth="1"/>
    <col min="3" max="3" width="12.875" style="56" customWidth="1"/>
    <col min="4" max="4" width="13.375" style="80" customWidth="1"/>
  </cols>
  <sheetData>
    <row r="1" spans="1:4" ht="16.5" thickBot="1" x14ac:dyDescent="0.3">
      <c r="A1" s="57" t="s">
        <v>19</v>
      </c>
      <c r="B1" s="30" t="s">
        <v>33</v>
      </c>
      <c r="C1" s="58" t="s">
        <v>18</v>
      </c>
      <c r="D1" s="59" t="s">
        <v>181</v>
      </c>
    </row>
    <row r="2" spans="1:4" x14ac:dyDescent="0.25">
      <c r="A2" s="60" t="s">
        <v>94</v>
      </c>
      <c r="B2" s="61" t="s">
        <v>182</v>
      </c>
      <c r="C2" s="62"/>
      <c r="D2" s="63"/>
    </row>
    <row r="3" spans="1:4" x14ac:dyDescent="0.25">
      <c r="A3" s="64" t="s">
        <v>183</v>
      </c>
      <c r="B3" s="65" t="s">
        <v>184</v>
      </c>
      <c r="C3" s="66" t="s">
        <v>47</v>
      </c>
      <c r="D3" s="67">
        <v>1430</v>
      </c>
    </row>
    <row r="4" spans="1:4" x14ac:dyDescent="0.25">
      <c r="A4" s="64" t="s">
        <v>185</v>
      </c>
      <c r="B4" s="65" t="s">
        <v>186</v>
      </c>
      <c r="C4" s="66" t="s">
        <v>47</v>
      </c>
      <c r="D4" s="67">
        <v>1289</v>
      </c>
    </row>
    <row r="5" spans="1:4" x14ac:dyDescent="0.25">
      <c r="A5" s="64" t="s">
        <v>187</v>
      </c>
      <c r="B5" s="65" t="s">
        <v>188</v>
      </c>
      <c r="C5" s="66" t="s">
        <v>47</v>
      </c>
      <c r="D5" s="67">
        <v>1089</v>
      </c>
    </row>
    <row r="6" spans="1:4" x14ac:dyDescent="0.25">
      <c r="A6" s="64" t="s">
        <v>189</v>
      </c>
      <c r="B6" s="65" t="s">
        <v>190</v>
      </c>
      <c r="C6" s="66" t="s">
        <v>47</v>
      </c>
      <c r="D6" s="67">
        <v>897</v>
      </c>
    </row>
    <row r="7" spans="1:4" x14ac:dyDescent="0.25">
      <c r="A7" s="64" t="s">
        <v>191</v>
      </c>
      <c r="B7" s="65" t="s">
        <v>192</v>
      </c>
      <c r="C7" s="66" t="s">
        <v>47</v>
      </c>
      <c r="D7" s="67">
        <v>1430</v>
      </c>
    </row>
    <row r="8" spans="1:4" x14ac:dyDescent="0.25">
      <c r="A8" s="64" t="s">
        <v>193</v>
      </c>
      <c r="B8" s="65" t="s">
        <v>194</v>
      </c>
      <c r="C8" s="66" t="s">
        <v>47</v>
      </c>
      <c r="D8" s="67">
        <v>1289</v>
      </c>
    </row>
    <row r="9" spans="1:4" x14ac:dyDescent="0.25">
      <c r="A9" s="64" t="s">
        <v>195</v>
      </c>
      <c r="B9" s="65" t="s">
        <v>196</v>
      </c>
      <c r="C9" s="66" t="s">
        <v>47</v>
      </c>
      <c r="D9" s="67">
        <v>971</v>
      </c>
    </row>
    <row r="10" spans="1:4" x14ac:dyDescent="0.25">
      <c r="A10" s="64" t="s">
        <v>197</v>
      </c>
      <c r="B10" s="65" t="s">
        <v>198</v>
      </c>
      <c r="C10" s="66" t="s">
        <v>47</v>
      </c>
      <c r="D10" s="67">
        <v>1430</v>
      </c>
    </row>
    <row r="11" spans="1:4" x14ac:dyDescent="0.25">
      <c r="A11" s="64" t="s">
        <v>199</v>
      </c>
      <c r="B11" s="65" t="s">
        <v>200</v>
      </c>
      <c r="C11" s="66" t="s">
        <v>47</v>
      </c>
      <c r="D11" s="67">
        <v>1430</v>
      </c>
    </row>
    <row r="12" spans="1:4" x14ac:dyDescent="0.25">
      <c r="A12" s="68" t="s">
        <v>201</v>
      </c>
      <c r="B12" s="69" t="s">
        <v>202</v>
      </c>
      <c r="C12" s="70"/>
      <c r="D12" s="71"/>
    </row>
    <row r="13" spans="1:4" x14ac:dyDescent="0.25">
      <c r="A13" s="64" t="s">
        <v>203</v>
      </c>
      <c r="B13" s="65" t="s">
        <v>204</v>
      </c>
      <c r="C13" s="66" t="s">
        <v>47</v>
      </c>
      <c r="D13" s="67">
        <v>904</v>
      </c>
    </row>
    <row r="14" spans="1:4" x14ac:dyDescent="0.25">
      <c r="A14" s="64" t="s">
        <v>205</v>
      </c>
      <c r="B14" s="65" t="s">
        <v>206</v>
      </c>
      <c r="C14" s="66" t="s">
        <v>47</v>
      </c>
      <c r="D14" s="67">
        <v>1148</v>
      </c>
    </row>
    <row r="15" spans="1:4" x14ac:dyDescent="0.25">
      <c r="A15" s="64" t="s">
        <v>207</v>
      </c>
      <c r="B15" s="65" t="s">
        <v>208</v>
      </c>
      <c r="C15" s="66" t="s">
        <v>47</v>
      </c>
      <c r="D15" s="67">
        <v>609</v>
      </c>
    </row>
    <row r="16" spans="1:4" x14ac:dyDescent="0.25">
      <c r="A16" s="64" t="s">
        <v>209</v>
      </c>
      <c r="B16" s="65" t="s">
        <v>210</v>
      </c>
      <c r="C16" s="66" t="s">
        <v>47</v>
      </c>
      <c r="D16" s="67">
        <v>1036</v>
      </c>
    </row>
    <row r="17" spans="1:4" x14ac:dyDescent="0.25">
      <c r="A17" s="64" t="s">
        <v>144</v>
      </c>
      <c r="B17" s="65" t="s">
        <v>211</v>
      </c>
      <c r="C17" s="66" t="s">
        <v>47</v>
      </c>
      <c r="D17" s="67">
        <v>1018</v>
      </c>
    </row>
    <row r="18" spans="1:4" x14ac:dyDescent="0.25">
      <c r="A18" s="64" t="s">
        <v>212</v>
      </c>
      <c r="B18" s="65" t="s">
        <v>213</v>
      </c>
      <c r="C18" s="66" t="s">
        <v>47</v>
      </c>
      <c r="D18" s="67">
        <v>904</v>
      </c>
    </row>
    <row r="19" spans="1:4" x14ac:dyDescent="0.25">
      <c r="A19" s="64" t="s">
        <v>214</v>
      </c>
      <c r="B19" s="65" t="s">
        <v>215</v>
      </c>
      <c r="C19" s="66" t="s">
        <v>47</v>
      </c>
      <c r="D19" s="67">
        <v>726</v>
      </c>
    </row>
    <row r="20" spans="1:4" x14ac:dyDescent="0.25">
      <c r="A20" s="64" t="s">
        <v>216</v>
      </c>
      <c r="B20" s="65" t="s">
        <v>217</v>
      </c>
      <c r="C20" s="66" t="s">
        <v>47</v>
      </c>
      <c r="D20" s="67">
        <v>904</v>
      </c>
    </row>
    <row r="21" spans="1:4" x14ac:dyDescent="0.25">
      <c r="A21" s="64" t="s">
        <v>218</v>
      </c>
      <c r="B21" s="65" t="s">
        <v>219</v>
      </c>
      <c r="C21" s="66" t="s">
        <v>47</v>
      </c>
      <c r="D21" s="67">
        <v>965</v>
      </c>
    </row>
    <row r="22" spans="1:4" x14ac:dyDescent="0.25">
      <c r="A22" s="64" t="s">
        <v>220</v>
      </c>
      <c r="B22" s="65" t="s">
        <v>221</v>
      </c>
      <c r="C22" s="66" t="s">
        <v>47</v>
      </c>
      <c r="D22" s="67">
        <v>870.9</v>
      </c>
    </row>
    <row r="23" spans="1:4" x14ac:dyDescent="0.25">
      <c r="A23" s="64" t="s">
        <v>222</v>
      </c>
      <c r="B23" s="65" t="s">
        <v>223</v>
      </c>
      <c r="C23" s="66" t="s">
        <v>47</v>
      </c>
      <c r="D23" s="67">
        <v>965</v>
      </c>
    </row>
    <row r="24" spans="1:4" x14ac:dyDescent="0.25">
      <c r="A24" s="64" t="s">
        <v>224</v>
      </c>
      <c r="B24" s="65" t="s">
        <v>225</v>
      </c>
      <c r="C24" s="66" t="s">
        <v>47</v>
      </c>
      <c r="D24" s="67">
        <v>1657</v>
      </c>
    </row>
    <row r="25" spans="1:4" x14ac:dyDescent="0.25">
      <c r="A25" s="64" t="s">
        <v>226</v>
      </c>
      <c r="B25" s="65" t="s">
        <v>227</v>
      </c>
      <c r="C25" s="66" t="s">
        <v>47</v>
      </c>
      <c r="D25" s="67">
        <v>1449</v>
      </c>
    </row>
    <row r="26" spans="1:4" x14ac:dyDescent="0.25">
      <c r="A26" s="64" t="s">
        <v>121</v>
      </c>
      <c r="B26" s="65" t="s">
        <v>228</v>
      </c>
      <c r="C26" s="66" t="s">
        <v>47</v>
      </c>
      <c r="D26" s="67">
        <v>1174</v>
      </c>
    </row>
    <row r="27" spans="1:4" x14ac:dyDescent="0.25">
      <c r="A27" s="64" t="s">
        <v>229</v>
      </c>
      <c r="B27" s="65" t="s">
        <v>230</v>
      </c>
      <c r="C27" s="66" t="s">
        <v>47</v>
      </c>
      <c r="D27" s="67">
        <v>2072</v>
      </c>
    </row>
    <row r="28" spans="1:4" x14ac:dyDescent="0.25">
      <c r="A28" s="64" t="s">
        <v>231</v>
      </c>
      <c r="B28" s="65" t="s">
        <v>232</v>
      </c>
      <c r="C28" s="66" t="s">
        <v>47</v>
      </c>
      <c r="D28" s="67">
        <v>1174</v>
      </c>
    </row>
    <row r="29" spans="1:4" x14ac:dyDescent="0.25">
      <c r="A29" s="64" t="s">
        <v>233</v>
      </c>
      <c r="B29" s="65" t="s">
        <v>234</v>
      </c>
      <c r="C29" s="66" t="s">
        <v>47</v>
      </c>
      <c r="D29" s="67">
        <v>2072</v>
      </c>
    </row>
    <row r="30" spans="1:4" x14ac:dyDescent="0.25">
      <c r="A30" s="64" t="s">
        <v>235</v>
      </c>
      <c r="B30" s="65" t="s">
        <v>236</v>
      </c>
      <c r="C30" s="66" t="s">
        <v>47</v>
      </c>
      <c r="D30" s="67">
        <v>904</v>
      </c>
    </row>
    <row r="31" spans="1:4" x14ac:dyDescent="0.25">
      <c r="A31" s="64" t="s">
        <v>237</v>
      </c>
      <c r="B31" s="65" t="s">
        <v>238</v>
      </c>
      <c r="C31" s="66" t="s">
        <v>47</v>
      </c>
      <c r="D31" s="67">
        <v>937</v>
      </c>
    </row>
    <row r="32" spans="1:4" x14ac:dyDescent="0.25">
      <c r="A32" s="64" t="s">
        <v>239</v>
      </c>
      <c r="B32" s="72" t="s">
        <v>240</v>
      </c>
      <c r="C32" s="73" t="s">
        <v>47</v>
      </c>
      <c r="D32" s="67">
        <v>832</v>
      </c>
    </row>
    <row r="33" spans="1:4" x14ac:dyDescent="0.25">
      <c r="A33" s="64" t="s">
        <v>241</v>
      </c>
      <c r="B33" s="72" t="s">
        <v>242</v>
      </c>
      <c r="C33" s="73" t="s">
        <v>47</v>
      </c>
      <c r="D33" s="67">
        <v>1018</v>
      </c>
    </row>
    <row r="34" spans="1:4" x14ac:dyDescent="0.25">
      <c r="A34" s="64" t="s">
        <v>243</v>
      </c>
      <c r="B34" s="65" t="s">
        <v>244</v>
      </c>
      <c r="C34" s="66" t="s">
        <v>47</v>
      </c>
      <c r="D34" s="67">
        <v>832</v>
      </c>
    </row>
    <row r="35" spans="1:4" x14ac:dyDescent="0.25">
      <c r="A35" s="64" t="s">
        <v>245</v>
      </c>
      <c r="B35" s="72" t="s">
        <v>246</v>
      </c>
      <c r="C35" s="73" t="s">
        <v>47</v>
      </c>
      <c r="D35" s="67">
        <v>900</v>
      </c>
    </row>
    <row r="36" spans="1:4" x14ac:dyDescent="0.25">
      <c r="A36" s="64" t="s">
        <v>247</v>
      </c>
      <c r="B36" s="65" t="s">
        <v>248</v>
      </c>
      <c r="C36" s="66" t="s">
        <v>47</v>
      </c>
      <c r="D36" s="67">
        <v>900</v>
      </c>
    </row>
    <row r="37" spans="1:4" x14ac:dyDescent="0.25">
      <c r="A37" s="64" t="s">
        <v>249</v>
      </c>
      <c r="B37" s="72" t="s">
        <v>250</v>
      </c>
      <c r="C37" s="73" t="s">
        <v>47</v>
      </c>
      <c r="D37" s="67">
        <v>900</v>
      </c>
    </row>
    <row r="38" spans="1:4" x14ac:dyDescent="0.25">
      <c r="A38" s="64" t="s">
        <v>251</v>
      </c>
      <c r="B38" s="65" t="s">
        <v>252</v>
      </c>
      <c r="C38" s="66" t="s">
        <v>47</v>
      </c>
      <c r="D38" s="67">
        <v>726</v>
      </c>
    </row>
    <row r="39" spans="1:4" x14ac:dyDescent="0.25">
      <c r="A39" s="64" t="s">
        <v>253</v>
      </c>
      <c r="B39" s="65" t="s">
        <v>254</v>
      </c>
      <c r="C39" s="66" t="s">
        <v>47</v>
      </c>
      <c r="D39" s="67">
        <v>832</v>
      </c>
    </row>
    <row r="40" spans="1:4" x14ac:dyDescent="0.25">
      <c r="A40" s="64" t="s">
        <v>255</v>
      </c>
      <c r="B40" s="65" t="s">
        <v>256</v>
      </c>
      <c r="C40" s="66" t="s">
        <v>47</v>
      </c>
      <c r="D40" s="67">
        <v>900</v>
      </c>
    </row>
    <row r="41" spans="1:4" x14ac:dyDescent="0.25">
      <c r="A41" s="64" t="s">
        <v>257</v>
      </c>
      <c r="B41" s="65" t="s">
        <v>258</v>
      </c>
      <c r="C41" s="66" t="s">
        <v>47</v>
      </c>
      <c r="D41" s="67">
        <v>900</v>
      </c>
    </row>
    <row r="42" spans="1:4" x14ac:dyDescent="0.25">
      <c r="A42" s="64" t="s">
        <v>259</v>
      </c>
      <c r="B42" s="65" t="s">
        <v>260</v>
      </c>
      <c r="C42" s="66" t="s">
        <v>47</v>
      </c>
      <c r="D42" s="67">
        <v>757</v>
      </c>
    </row>
    <row r="43" spans="1:4" x14ac:dyDescent="0.25">
      <c r="A43" s="64" t="s">
        <v>261</v>
      </c>
      <c r="B43" s="65" t="s">
        <v>262</v>
      </c>
      <c r="C43" s="66" t="s">
        <v>47</v>
      </c>
      <c r="D43" s="67">
        <v>796</v>
      </c>
    </row>
    <row r="44" spans="1:4" x14ac:dyDescent="0.25">
      <c r="A44" s="64" t="s">
        <v>263</v>
      </c>
      <c r="B44" s="65" t="s">
        <v>264</v>
      </c>
      <c r="C44" s="66" t="s">
        <v>47</v>
      </c>
      <c r="D44" s="67">
        <v>796</v>
      </c>
    </row>
    <row r="45" spans="1:4" x14ac:dyDescent="0.25">
      <c r="A45" s="64" t="s">
        <v>265</v>
      </c>
      <c r="B45" s="65" t="s">
        <v>266</v>
      </c>
      <c r="C45" s="66" t="s">
        <v>47</v>
      </c>
      <c r="D45" s="74">
        <v>965</v>
      </c>
    </row>
    <row r="46" spans="1:4" x14ac:dyDescent="0.25">
      <c r="A46" s="64" t="s">
        <v>267</v>
      </c>
      <c r="B46" s="65" t="s">
        <v>268</v>
      </c>
      <c r="C46" s="66" t="s">
        <v>47</v>
      </c>
      <c r="D46" s="67">
        <v>870</v>
      </c>
    </row>
    <row r="47" spans="1:4" x14ac:dyDescent="0.25">
      <c r="A47" s="64" t="s">
        <v>269</v>
      </c>
      <c r="B47" s="65" t="s">
        <v>270</v>
      </c>
      <c r="C47" s="66" t="s">
        <v>47</v>
      </c>
      <c r="D47" s="67">
        <v>648</v>
      </c>
    </row>
    <row r="48" spans="1:4" x14ac:dyDescent="0.25">
      <c r="A48" s="64" t="s">
        <v>271</v>
      </c>
      <c r="B48" s="65" t="s">
        <v>272</v>
      </c>
      <c r="C48" s="66" t="s">
        <v>47</v>
      </c>
      <c r="D48" s="67">
        <v>726</v>
      </c>
    </row>
    <row r="49" spans="1:4" x14ac:dyDescent="0.25">
      <c r="A49" s="64" t="s">
        <v>273</v>
      </c>
      <c r="B49" s="65" t="s">
        <v>274</v>
      </c>
      <c r="C49" s="66" t="s">
        <v>47</v>
      </c>
      <c r="D49" s="67">
        <v>1113</v>
      </c>
    </row>
    <row r="50" spans="1:4" x14ac:dyDescent="0.25">
      <c r="A50" s="68" t="s">
        <v>275</v>
      </c>
      <c r="B50" s="69" t="s">
        <v>276</v>
      </c>
      <c r="C50" s="70"/>
      <c r="D50" s="71"/>
    </row>
    <row r="51" spans="1:4" x14ac:dyDescent="0.25">
      <c r="A51" s="64" t="s">
        <v>277</v>
      </c>
      <c r="B51" s="65" t="s">
        <v>278</v>
      </c>
      <c r="C51" s="66" t="s">
        <v>47</v>
      </c>
      <c r="D51" s="67">
        <v>714</v>
      </c>
    </row>
    <row r="52" spans="1:4" x14ac:dyDescent="0.25">
      <c r="A52" s="64" t="s">
        <v>279</v>
      </c>
      <c r="B52" s="65" t="s">
        <v>280</v>
      </c>
      <c r="C52" s="66" t="s">
        <v>47</v>
      </c>
      <c r="D52" s="67">
        <v>867</v>
      </c>
    </row>
    <row r="53" spans="1:4" x14ac:dyDescent="0.25">
      <c r="A53" s="64" t="s">
        <v>281</v>
      </c>
      <c r="B53" s="65" t="s">
        <v>282</v>
      </c>
      <c r="C53" s="66" t="s">
        <v>47</v>
      </c>
      <c r="D53" s="67">
        <v>1416</v>
      </c>
    </row>
    <row r="54" spans="1:4" x14ac:dyDescent="0.25">
      <c r="A54" s="64" t="s">
        <v>283</v>
      </c>
      <c r="B54" s="65" t="s">
        <v>284</v>
      </c>
      <c r="C54" s="66" t="s">
        <v>47</v>
      </c>
      <c r="D54" s="67">
        <v>1018</v>
      </c>
    </row>
    <row r="55" spans="1:4" x14ac:dyDescent="0.25">
      <c r="A55" s="64" t="s">
        <v>285</v>
      </c>
      <c r="B55" s="65" t="s">
        <v>286</v>
      </c>
      <c r="C55" s="66" t="s">
        <v>47</v>
      </c>
      <c r="D55" s="67">
        <v>1096</v>
      </c>
    </row>
    <row r="56" spans="1:4" x14ac:dyDescent="0.25">
      <c r="A56" s="64" t="s">
        <v>287</v>
      </c>
      <c r="B56" s="65" t="s">
        <v>288</v>
      </c>
      <c r="C56" s="66" t="s">
        <v>47</v>
      </c>
      <c r="D56" s="67">
        <v>603</v>
      </c>
    </row>
    <row r="57" spans="1:4" x14ac:dyDescent="0.25">
      <c r="A57" s="64" t="s">
        <v>289</v>
      </c>
      <c r="B57" s="65" t="s">
        <v>290</v>
      </c>
      <c r="C57" s="66" t="s">
        <v>47</v>
      </c>
      <c r="D57" s="67">
        <v>1006</v>
      </c>
    </row>
    <row r="58" spans="1:4" x14ac:dyDescent="0.25">
      <c r="A58" s="64" t="s">
        <v>291</v>
      </c>
      <c r="B58" s="65" t="s">
        <v>292</v>
      </c>
      <c r="C58" s="66" t="s">
        <v>47</v>
      </c>
      <c r="D58" s="67">
        <v>986</v>
      </c>
    </row>
    <row r="59" spans="1:4" x14ac:dyDescent="0.25">
      <c r="A59" s="64" t="s">
        <v>293</v>
      </c>
      <c r="B59" s="65" t="s">
        <v>294</v>
      </c>
      <c r="C59" s="66" t="s">
        <v>47</v>
      </c>
      <c r="D59" s="67">
        <v>714</v>
      </c>
    </row>
    <row r="60" spans="1:4" x14ac:dyDescent="0.25">
      <c r="A60" s="64" t="s">
        <v>295</v>
      </c>
      <c r="B60" s="65" t="s">
        <v>296</v>
      </c>
      <c r="C60" s="66" t="s">
        <v>47</v>
      </c>
      <c r="D60" s="67">
        <v>714</v>
      </c>
    </row>
    <row r="61" spans="1:4" x14ac:dyDescent="0.25">
      <c r="A61" s="64" t="s">
        <v>297</v>
      </c>
      <c r="B61" s="65" t="s">
        <v>298</v>
      </c>
      <c r="C61" s="66" t="s">
        <v>47</v>
      </c>
      <c r="D61" s="67">
        <v>1096</v>
      </c>
    </row>
    <row r="62" spans="1:4" x14ac:dyDescent="0.25">
      <c r="A62" s="64" t="s">
        <v>299</v>
      </c>
      <c r="B62" s="65" t="s">
        <v>300</v>
      </c>
      <c r="C62" s="66" t="s">
        <v>47</v>
      </c>
      <c r="D62" s="67">
        <v>1096</v>
      </c>
    </row>
    <row r="63" spans="1:4" x14ac:dyDescent="0.25">
      <c r="A63" s="64" t="s">
        <v>122</v>
      </c>
      <c r="B63" s="65" t="s">
        <v>119</v>
      </c>
      <c r="C63" s="66" t="s">
        <v>47</v>
      </c>
      <c r="D63" s="67">
        <v>766</v>
      </c>
    </row>
    <row r="64" spans="1:4" x14ac:dyDescent="0.25">
      <c r="A64" s="64" t="s">
        <v>301</v>
      </c>
      <c r="B64" s="65" t="s">
        <v>302</v>
      </c>
      <c r="C64" s="66" t="s">
        <v>47</v>
      </c>
      <c r="D64" s="67">
        <v>792</v>
      </c>
    </row>
    <row r="65" spans="1:4" x14ac:dyDescent="0.25">
      <c r="A65" s="64" t="s">
        <v>303</v>
      </c>
      <c r="B65" s="65" t="s">
        <v>304</v>
      </c>
      <c r="C65" s="66" t="s">
        <v>47</v>
      </c>
      <c r="D65" s="67">
        <v>867</v>
      </c>
    </row>
    <row r="66" spans="1:4" x14ac:dyDescent="0.25">
      <c r="A66" s="64" t="s">
        <v>305</v>
      </c>
      <c r="B66" s="65" t="s">
        <v>306</v>
      </c>
      <c r="C66" s="66" t="s">
        <v>47</v>
      </c>
      <c r="D66" s="67">
        <v>908</v>
      </c>
    </row>
    <row r="67" spans="1:4" x14ac:dyDescent="0.25">
      <c r="A67" s="64" t="s">
        <v>307</v>
      </c>
      <c r="B67" s="65" t="s">
        <v>308</v>
      </c>
      <c r="C67" s="66" t="s">
        <v>47</v>
      </c>
      <c r="D67" s="67">
        <v>986</v>
      </c>
    </row>
    <row r="68" spans="1:4" x14ac:dyDescent="0.25">
      <c r="A68" s="64" t="s">
        <v>309</v>
      </c>
      <c r="B68" s="65" t="s">
        <v>310</v>
      </c>
      <c r="C68" s="66" t="s">
        <v>47</v>
      </c>
      <c r="D68" s="67">
        <v>792</v>
      </c>
    </row>
    <row r="69" spans="1:4" x14ac:dyDescent="0.25">
      <c r="A69" s="64" t="s">
        <v>311</v>
      </c>
      <c r="B69" s="65" t="s">
        <v>312</v>
      </c>
      <c r="C69" s="66" t="s">
        <v>47</v>
      </c>
      <c r="D69" s="67">
        <v>867</v>
      </c>
    </row>
    <row r="70" spans="1:4" x14ac:dyDescent="0.25">
      <c r="A70" s="64" t="s">
        <v>313</v>
      </c>
      <c r="B70" s="65" t="s">
        <v>314</v>
      </c>
      <c r="C70" s="66" t="s">
        <v>47</v>
      </c>
      <c r="D70" s="67">
        <v>867</v>
      </c>
    </row>
    <row r="71" spans="1:4" x14ac:dyDescent="0.25">
      <c r="A71" s="64" t="s">
        <v>315</v>
      </c>
      <c r="B71" s="65" t="s">
        <v>316</v>
      </c>
      <c r="C71" s="66" t="s">
        <v>47</v>
      </c>
      <c r="D71" s="67">
        <v>867</v>
      </c>
    </row>
    <row r="72" spans="1:4" x14ac:dyDescent="0.25">
      <c r="A72" s="64" t="s">
        <v>317</v>
      </c>
      <c r="B72" s="65" t="s">
        <v>318</v>
      </c>
      <c r="C72" s="66" t="s">
        <v>47</v>
      </c>
      <c r="D72" s="67">
        <v>757</v>
      </c>
    </row>
    <row r="73" spans="1:4" x14ac:dyDescent="0.25">
      <c r="A73" s="64" t="s">
        <v>319</v>
      </c>
      <c r="B73" s="65" t="s">
        <v>320</v>
      </c>
      <c r="C73" s="66" t="s">
        <v>47</v>
      </c>
      <c r="D73" s="67">
        <v>714</v>
      </c>
    </row>
    <row r="74" spans="1:4" x14ac:dyDescent="0.25">
      <c r="A74" s="64" t="s">
        <v>321</v>
      </c>
      <c r="B74" s="65" t="s">
        <v>322</v>
      </c>
      <c r="C74" s="66" t="s">
        <v>47</v>
      </c>
      <c r="D74" s="67">
        <v>792</v>
      </c>
    </row>
    <row r="75" spans="1:4" x14ac:dyDescent="0.25">
      <c r="A75" s="64" t="s">
        <v>323</v>
      </c>
      <c r="B75" s="65" t="s">
        <v>324</v>
      </c>
      <c r="C75" s="66" t="s">
        <v>47</v>
      </c>
      <c r="D75" s="67">
        <v>867</v>
      </c>
    </row>
    <row r="76" spans="1:4" x14ac:dyDescent="0.25">
      <c r="A76" s="64" t="s">
        <v>325</v>
      </c>
      <c r="B76" s="65" t="s">
        <v>326</v>
      </c>
      <c r="C76" s="66" t="s">
        <v>47</v>
      </c>
      <c r="D76" s="67">
        <v>867</v>
      </c>
    </row>
    <row r="77" spans="1:4" x14ac:dyDescent="0.25">
      <c r="A77" s="64" t="s">
        <v>327</v>
      </c>
      <c r="B77" s="65" t="s">
        <v>328</v>
      </c>
      <c r="C77" s="66" t="s">
        <v>47</v>
      </c>
      <c r="D77" s="67">
        <v>767</v>
      </c>
    </row>
    <row r="78" spans="1:4" x14ac:dyDescent="0.25">
      <c r="A78" s="64" t="s">
        <v>329</v>
      </c>
      <c r="B78" s="65" t="s">
        <v>330</v>
      </c>
      <c r="C78" s="66" t="s">
        <v>47</v>
      </c>
      <c r="D78" s="67">
        <v>767</v>
      </c>
    </row>
    <row r="79" spans="1:4" x14ac:dyDescent="0.25">
      <c r="A79" s="64" t="s">
        <v>331</v>
      </c>
      <c r="B79" s="65" t="s">
        <v>332</v>
      </c>
      <c r="C79" s="66" t="s">
        <v>47</v>
      </c>
      <c r="D79" s="67">
        <v>808</v>
      </c>
    </row>
    <row r="80" spans="1:4" x14ac:dyDescent="0.25">
      <c r="A80" s="64" t="s">
        <v>124</v>
      </c>
      <c r="B80" s="65" t="s">
        <v>125</v>
      </c>
      <c r="C80" s="66" t="s">
        <v>47</v>
      </c>
      <c r="D80" s="67">
        <v>832</v>
      </c>
    </row>
    <row r="81" spans="1:4" x14ac:dyDescent="0.25">
      <c r="A81" s="64" t="s">
        <v>333</v>
      </c>
      <c r="B81" s="65" t="s">
        <v>334</v>
      </c>
      <c r="C81" s="66" t="s">
        <v>47</v>
      </c>
      <c r="D81" s="67">
        <v>792</v>
      </c>
    </row>
    <row r="82" spans="1:4" x14ac:dyDescent="0.25">
      <c r="A82" s="64" t="s">
        <v>133</v>
      </c>
      <c r="B82" s="65" t="s">
        <v>134</v>
      </c>
      <c r="C82" s="66" t="s">
        <v>47</v>
      </c>
      <c r="D82" s="67">
        <v>832</v>
      </c>
    </row>
    <row r="83" spans="1:4" x14ac:dyDescent="0.25">
      <c r="A83" s="64" t="s">
        <v>335</v>
      </c>
      <c r="B83" s="65" t="s">
        <v>336</v>
      </c>
      <c r="C83" s="66" t="s">
        <v>47</v>
      </c>
      <c r="D83" s="67">
        <v>757</v>
      </c>
    </row>
    <row r="84" spans="1:4" x14ac:dyDescent="0.25">
      <c r="A84" s="68" t="s">
        <v>337</v>
      </c>
      <c r="B84" s="69" t="s">
        <v>338</v>
      </c>
      <c r="C84" s="70"/>
      <c r="D84" s="71"/>
    </row>
    <row r="85" spans="1:4" x14ac:dyDescent="0.25">
      <c r="A85" s="75" t="s">
        <v>123</v>
      </c>
      <c r="B85" s="76" t="s">
        <v>120</v>
      </c>
      <c r="C85" s="77" t="s">
        <v>47</v>
      </c>
      <c r="D85" s="78">
        <v>628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D35D5-19C0-4220-8C42-AAAA19496E52}">
  <dimension ref="A1:D211"/>
  <sheetViews>
    <sheetView zoomScale="85" zoomScaleNormal="85" workbookViewId="0"/>
  </sheetViews>
  <sheetFormatPr defaultRowHeight="15.75" x14ac:dyDescent="0.25"/>
  <cols>
    <col min="1" max="1" width="14.375" customWidth="1"/>
    <col min="2" max="2" width="100.875" style="79" customWidth="1"/>
    <col min="3" max="3" width="12.875" style="56" customWidth="1"/>
    <col min="4" max="4" width="13.375" style="95" customWidth="1"/>
  </cols>
  <sheetData>
    <row r="1" spans="1:4" ht="16.5" thickBot="1" x14ac:dyDescent="0.3">
      <c r="A1" s="57" t="s">
        <v>19</v>
      </c>
      <c r="B1" s="30" t="s">
        <v>33</v>
      </c>
      <c r="C1" s="58" t="s">
        <v>18</v>
      </c>
      <c r="D1" s="81" t="s">
        <v>181</v>
      </c>
    </row>
    <row r="2" spans="1:4" x14ac:dyDescent="0.25">
      <c r="A2" s="82" t="s">
        <v>113</v>
      </c>
      <c r="B2" s="83" t="s">
        <v>21</v>
      </c>
      <c r="C2" s="84" t="s">
        <v>114</v>
      </c>
      <c r="D2" s="85">
        <v>5602.5</v>
      </c>
    </row>
    <row r="3" spans="1:4" x14ac:dyDescent="0.25">
      <c r="A3" s="64" t="s">
        <v>116</v>
      </c>
      <c r="B3" s="65" t="s">
        <v>168</v>
      </c>
      <c r="C3" s="66" t="s">
        <v>114</v>
      </c>
      <c r="D3" s="86">
        <v>55665</v>
      </c>
    </row>
    <row r="4" spans="1:4" x14ac:dyDescent="0.25">
      <c r="A4" s="87"/>
      <c r="B4" s="69" t="s">
        <v>339</v>
      </c>
      <c r="C4" s="70"/>
      <c r="D4" s="88"/>
    </row>
    <row r="5" spans="1:4" x14ac:dyDescent="0.25">
      <c r="A5" s="87"/>
      <c r="B5" s="69" t="s">
        <v>340</v>
      </c>
      <c r="C5" s="70"/>
      <c r="D5" s="88"/>
    </row>
    <row r="6" spans="1:4" x14ac:dyDescent="0.25">
      <c r="A6" s="64" t="s">
        <v>341</v>
      </c>
      <c r="B6" s="65" t="s">
        <v>715</v>
      </c>
      <c r="C6" s="66" t="s">
        <v>342</v>
      </c>
      <c r="D6" s="86">
        <v>7887</v>
      </c>
    </row>
    <row r="7" spans="1:4" x14ac:dyDescent="0.25">
      <c r="A7" s="64" t="s">
        <v>343</v>
      </c>
      <c r="B7" s="65" t="s">
        <v>716</v>
      </c>
      <c r="C7" s="66" t="s">
        <v>342</v>
      </c>
      <c r="D7" s="86">
        <v>7585</v>
      </c>
    </row>
    <row r="8" spans="1:4" x14ac:dyDescent="0.25">
      <c r="A8" s="87"/>
      <c r="B8" s="69" t="s">
        <v>344</v>
      </c>
      <c r="C8" s="70"/>
      <c r="D8" s="88"/>
    </row>
    <row r="9" spans="1:4" x14ac:dyDescent="0.25">
      <c r="A9" s="64" t="s">
        <v>345</v>
      </c>
      <c r="B9" s="65" t="s">
        <v>717</v>
      </c>
      <c r="C9" s="66" t="s">
        <v>342</v>
      </c>
      <c r="D9" s="86">
        <v>6795</v>
      </c>
    </row>
    <row r="10" spans="1:4" x14ac:dyDescent="0.25">
      <c r="A10" s="64" t="s">
        <v>346</v>
      </c>
      <c r="B10" s="65" t="s">
        <v>718</v>
      </c>
      <c r="C10" s="66" t="s">
        <v>342</v>
      </c>
      <c r="D10" s="86">
        <v>6595</v>
      </c>
    </row>
    <row r="11" spans="1:4" x14ac:dyDescent="0.25">
      <c r="A11" s="87"/>
      <c r="B11" s="69" t="s">
        <v>347</v>
      </c>
      <c r="C11" s="70"/>
      <c r="D11" s="88"/>
    </row>
    <row r="12" spans="1:4" x14ac:dyDescent="0.25">
      <c r="A12" s="64" t="s">
        <v>348</v>
      </c>
      <c r="B12" s="65" t="s">
        <v>719</v>
      </c>
      <c r="C12" s="66" t="s">
        <v>342</v>
      </c>
      <c r="D12" s="86">
        <v>5709</v>
      </c>
    </row>
    <row r="13" spans="1:4" x14ac:dyDescent="0.25">
      <c r="A13" s="64" t="s">
        <v>349</v>
      </c>
      <c r="B13" s="65" t="s">
        <v>720</v>
      </c>
      <c r="C13" s="66" t="s">
        <v>342</v>
      </c>
      <c r="D13" s="86">
        <v>4489</v>
      </c>
    </row>
    <row r="14" spans="1:4" x14ac:dyDescent="0.25">
      <c r="A14" s="64" t="s">
        <v>350</v>
      </c>
      <c r="B14" s="65" t="s">
        <v>721</v>
      </c>
      <c r="C14" s="66" t="s">
        <v>342</v>
      </c>
      <c r="D14" s="86">
        <v>4299</v>
      </c>
    </row>
    <row r="15" spans="1:4" x14ac:dyDescent="0.25">
      <c r="A15" s="87"/>
      <c r="B15" s="69" t="s">
        <v>352</v>
      </c>
      <c r="C15" s="70"/>
      <c r="D15" s="88"/>
    </row>
    <row r="16" spans="1:4" x14ac:dyDescent="0.25">
      <c r="A16" s="64" t="s">
        <v>353</v>
      </c>
      <c r="B16" s="65" t="s">
        <v>722</v>
      </c>
      <c r="C16" s="66" t="s">
        <v>342</v>
      </c>
      <c r="D16" s="86">
        <v>6595</v>
      </c>
    </row>
    <row r="17" spans="1:4" x14ac:dyDescent="0.25">
      <c r="A17" s="64" t="s">
        <v>354</v>
      </c>
      <c r="B17" s="65" t="s">
        <v>723</v>
      </c>
      <c r="C17" s="66" t="s">
        <v>342</v>
      </c>
      <c r="D17" s="86">
        <v>6795</v>
      </c>
    </row>
    <row r="18" spans="1:4" x14ac:dyDescent="0.25">
      <c r="A18" s="87"/>
      <c r="B18" s="69" t="s">
        <v>355</v>
      </c>
      <c r="C18" s="70"/>
      <c r="D18" s="88"/>
    </row>
    <row r="19" spans="1:4" x14ac:dyDescent="0.25">
      <c r="A19" s="64" t="s">
        <v>356</v>
      </c>
      <c r="B19" s="65" t="s">
        <v>351</v>
      </c>
      <c r="C19" s="66" t="s">
        <v>342</v>
      </c>
      <c r="D19" s="86">
        <v>2526</v>
      </c>
    </row>
    <row r="20" spans="1:4" x14ac:dyDescent="0.25">
      <c r="A20" s="64" t="s">
        <v>357</v>
      </c>
      <c r="B20" s="65" t="s">
        <v>358</v>
      </c>
      <c r="C20" s="66" t="s">
        <v>342</v>
      </c>
      <c r="D20" s="86">
        <v>3854</v>
      </c>
    </row>
    <row r="21" spans="1:4" x14ac:dyDescent="0.25">
      <c r="A21" s="64" t="s">
        <v>359</v>
      </c>
      <c r="B21" s="65" t="s">
        <v>360</v>
      </c>
      <c r="C21" s="66" t="s">
        <v>342</v>
      </c>
      <c r="D21" s="86">
        <v>989</v>
      </c>
    </row>
    <row r="22" spans="1:4" x14ac:dyDescent="0.25">
      <c r="A22" s="64" t="s">
        <v>361</v>
      </c>
      <c r="B22" s="72" t="s">
        <v>362</v>
      </c>
      <c r="C22" s="66" t="s">
        <v>342</v>
      </c>
      <c r="D22" s="86">
        <v>13365</v>
      </c>
    </row>
    <row r="23" spans="1:4" x14ac:dyDescent="0.25">
      <c r="A23" s="64" t="s">
        <v>363</v>
      </c>
      <c r="B23" s="72" t="s">
        <v>364</v>
      </c>
      <c r="C23" s="66" t="s">
        <v>342</v>
      </c>
      <c r="D23" s="86">
        <v>10020</v>
      </c>
    </row>
    <row r="24" spans="1:4" x14ac:dyDescent="0.25">
      <c r="A24" s="87"/>
      <c r="B24" s="69" t="s">
        <v>365</v>
      </c>
      <c r="C24" s="70"/>
      <c r="D24" s="88"/>
    </row>
    <row r="25" spans="1:4" x14ac:dyDescent="0.25">
      <c r="A25" s="64" t="s">
        <v>366</v>
      </c>
      <c r="B25" s="72" t="s">
        <v>724</v>
      </c>
      <c r="C25" s="66" t="s">
        <v>342</v>
      </c>
      <c r="D25" s="86">
        <v>13365</v>
      </c>
    </row>
    <row r="26" spans="1:4" x14ac:dyDescent="0.25">
      <c r="A26" s="64" t="s">
        <v>367</v>
      </c>
      <c r="B26" s="72" t="s">
        <v>725</v>
      </c>
      <c r="C26" s="66" t="s">
        <v>342</v>
      </c>
      <c r="D26" s="86">
        <v>11140</v>
      </c>
    </row>
    <row r="27" spans="1:4" x14ac:dyDescent="0.25">
      <c r="A27" s="64" t="s">
        <v>368</v>
      </c>
      <c r="B27" s="72" t="s">
        <v>726</v>
      </c>
      <c r="C27" s="66" t="s">
        <v>342</v>
      </c>
      <c r="D27" s="86">
        <v>16705</v>
      </c>
    </row>
    <row r="28" spans="1:4" x14ac:dyDescent="0.25">
      <c r="A28" s="87"/>
      <c r="B28" s="69" t="s">
        <v>369</v>
      </c>
      <c r="C28" s="70"/>
      <c r="D28" s="88"/>
    </row>
    <row r="29" spans="1:4" x14ac:dyDescent="0.25">
      <c r="A29" s="64" t="s">
        <v>370</v>
      </c>
      <c r="B29" s="65" t="s">
        <v>371</v>
      </c>
      <c r="C29" s="66" t="s">
        <v>342</v>
      </c>
      <c r="D29" s="86">
        <v>8087</v>
      </c>
    </row>
    <row r="30" spans="1:4" x14ac:dyDescent="0.25">
      <c r="A30" s="64" t="s">
        <v>372</v>
      </c>
      <c r="B30" s="65" t="s">
        <v>373</v>
      </c>
      <c r="C30" s="66" t="s">
        <v>342</v>
      </c>
      <c r="D30" s="86">
        <v>9604</v>
      </c>
    </row>
    <row r="31" spans="1:4" x14ac:dyDescent="0.25">
      <c r="A31" s="87"/>
      <c r="B31" s="69" t="s">
        <v>374</v>
      </c>
      <c r="C31" s="70"/>
      <c r="D31" s="88"/>
    </row>
    <row r="32" spans="1:4" x14ac:dyDescent="0.25">
      <c r="A32" s="64" t="s">
        <v>375</v>
      </c>
      <c r="B32" s="65" t="s">
        <v>376</v>
      </c>
      <c r="C32" s="66" t="s">
        <v>40</v>
      </c>
      <c r="D32" s="86">
        <v>705</v>
      </c>
    </row>
    <row r="33" spans="1:4" x14ac:dyDescent="0.25">
      <c r="A33" s="64" t="s">
        <v>378</v>
      </c>
      <c r="B33" s="65" t="s">
        <v>379</v>
      </c>
      <c r="C33" s="66" t="s">
        <v>40</v>
      </c>
      <c r="D33" s="86">
        <v>786</v>
      </c>
    </row>
    <row r="34" spans="1:4" x14ac:dyDescent="0.25">
      <c r="A34" s="87"/>
      <c r="B34" s="69" t="s">
        <v>380</v>
      </c>
      <c r="C34" s="70"/>
      <c r="D34" s="88"/>
    </row>
    <row r="35" spans="1:4" x14ac:dyDescent="0.25">
      <c r="A35" s="64" t="s">
        <v>381</v>
      </c>
      <c r="B35" s="65" t="s">
        <v>382</v>
      </c>
      <c r="C35" s="66" t="s">
        <v>342</v>
      </c>
      <c r="D35" s="86">
        <v>11356</v>
      </c>
    </row>
    <row r="36" spans="1:4" x14ac:dyDescent="0.25">
      <c r="A36" s="64" t="s">
        <v>383</v>
      </c>
      <c r="B36" s="65" t="s">
        <v>384</v>
      </c>
      <c r="C36" s="66" t="s">
        <v>342</v>
      </c>
      <c r="D36" s="86">
        <v>16106</v>
      </c>
    </row>
    <row r="37" spans="1:4" x14ac:dyDescent="0.25">
      <c r="A37" s="87"/>
      <c r="B37" s="69" t="s">
        <v>385</v>
      </c>
      <c r="C37" s="70"/>
      <c r="D37" s="88"/>
    </row>
    <row r="38" spans="1:4" x14ac:dyDescent="0.25">
      <c r="A38" s="64" t="s">
        <v>386</v>
      </c>
      <c r="B38" s="65" t="s">
        <v>387</v>
      </c>
      <c r="C38" s="66" t="s">
        <v>342</v>
      </c>
      <c r="D38" s="86">
        <v>441.35</v>
      </c>
    </row>
    <row r="39" spans="1:4" x14ac:dyDescent="0.25">
      <c r="A39" s="64" t="s">
        <v>388</v>
      </c>
      <c r="B39" s="65" t="s">
        <v>389</v>
      </c>
      <c r="C39" s="66" t="s">
        <v>342</v>
      </c>
      <c r="D39" s="86">
        <v>363.3</v>
      </c>
    </row>
    <row r="40" spans="1:4" x14ac:dyDescent="0.25">
      <c r="A40" s="87"/>
      <c r="B40" s="69" t="s">
        <v>390</v>
      </c>
      <c r="C40" s="70"/>
      <c r="D40" s="88"/>
    </row>
    <row r="41" spans="1:4" x14ac:dyDescent="0.25">
      <c r="A41" s="64" t="s">
        <v>391</v>
      </c>
      <c r="B41" s="65" t="s">
        <v>392</v>
      </c>
      <c r="C41" s="66" t="s">
        <v>342</v>
      </c>
      <c r="D41" s="86">
        <v>10594</v>
      </c>
    </row>
    <row r="42" spans="1:4" x14ac:dyDescent="0.25">
      <c r="A42" s="64" t="s">
        <v>393</v>
      </c>
      <c r="B42" s="65" t="s">
        <v>394</v>
      </c>
      <c r="C42" s="66" t="s">
        <v>342</v>
      </c>
      <c r="D42" s="86">
        <v>10807</v>
      </c>
    </row>
    <row r="43" spans="1:4" x14ac:dyDescent="0.25">
      <c r="A43" s="64" t="s">
        <v>395</v>
      </c>
      <c r="B43" s="65" t="s">
        <v>396</v>
      </c>
      <c r="C43" s="66" t="s">
        <v>342</v>
      </c>
      <c r="D43" s="86">
        <v>31007</v>
      </c>
    </row>
    <row r="44" spans="1:4" x14ac:dyDescent="0.25">
      <c r="A44" s="64" t="s">
        <v>397</v>
      </c>
      <c r="B44" s="65" t="s">
        <v>398</v>
      </c>
      <c r="C44" s="66" t="s">
        <v>342</v>
      </c>
      <c r="D44" s="86">
        <v>6514</v>
      </c>
    </row>
    <row r="45" spans="1:4" x14ac:dyDescent="0.25">
      <c r="A45" s="64" t="s">
        <v>399</v>
      </c>
      <c r="B45" s="65" t="s">
        <v>400</v>
      </c>
      <c r="C45" s="73" t="s">
        <v>401</v>
      </c>
      <c r="D45" s="86">
        <v>304</v>
      </c>
    </row>
    <row r="46" spans="1:4" x14ac:dyDescent="0.25">
      <c r="A46" s="64" t="s">
        <v>402</v>
      </c>
      <c r="B46" s="65" t="s">
        <v>403</v>
      </c>
      <c r="C46" s="73" t="s">
        <v>401</v>
      </c>
      <c r="D46" s="86">
        <v>45.45</v>
      </c>
    </row>
    <row r="47" spans="1:4" x14ac:dyDescent="0.25">
      <c r="A47" s="64" t="s">
        <v>404</v>
      </c>
      <c r="B47" s="65" t="s">
        <v>405</v>
      </c>
      <c r="C47" s="73" t="s">
        <v>401</v>
      </c>
      <c r="D47" s="86">
        <v>57.55</v>
      </c>
    </row>
    <row r="48" spans="1:4" x14ac:dyDescent="0.25">
      <c r="A48" s="87"/>
      <c r="B48" s="69" t="s">
        <v>406</v>
      </c>
      <c r="C48" s="70"/>
      <c r="D48" s="88"/>
    </row>
    <row r="49" spans="1:4" x14ac:dyDescent="0.25">
      <c r="A49" s="64" t="s">
        <v>407</v>
      </c>
      <c r="B49" s="65" t="s">
        <v>408</v>
      </c>
      <c r="C49" s="66" t="s">
        <v>342</v>
      </c>
      <c r="D49" s="86">
        <v>11907</v>
      </c>
    </row>
    <row r="50" spans="1:4" x14ac:dyDescent="0.25">
      <c r="A50" s="64" t="s">
        <v>409</v>
      </c>
      <c r="B50" s="65" t="s">
        <v>410</v>
      </c>
      <c r="C50" s="66" t="s">
        <v>342</v>
      </c>
      <c r="D50" s="86">
        <v>7605</v>
      </c>
    </row>
    <row r="51" spans="1:4" x14ac:dyDescent="0.25">
      <c r="A51" s="87"/>
      <c r="B51" s="69" t="s">
        <v>411</v>
      </c>
      <c r="C51" s="70"/>
      <c r="D51" s="88"/>
    </row>
    <row r="52" spans="1:4" x14ac:dyDescent="0.25">
      <c r="A52" s="64" t="s">
        <v>412</v>
      </c>
      <c r="B52" s="65" t="s">
        <v>413</v>
      </c>
      <c r="C52" s="66" t="s">
        <v>342</v>
      </c>
      <c r="D52" s="86">
        <v>16432</v>
      </c>
    </row>
    <row r="53" spans="1:4" x14ac:dyDescent="0.25">
      <c r="A53" s="64" t="s">
        <v>414</v>
      </c>
      <c r="B53" s="65" t="s">
        <v>415</v>
      </c>
      <c r="C53" s="66" t="s">
        <v>342</v>
      </c>
      <c r="D53" s="86">
        <v>9696</v>
      </c>
    </row>
    <row r="54" spans="1:4" x14ac:dyDescent="0.25">
      <c r="A54" s="64" t="s">
        <v>416</v>
      </c>
      <c r="B54" s="65" t="s">
        <v>417</v>
      </c>
      <c r="C54" s="66" t="s">
        <v>342</v>
      </c>
      <c r="D54" s="86">
        <v>11907</v>
      </c>
    </row>
    <row r="55" spans="1:4" x14ac:dyDescent="0.25">
      <c r="A55" s="64" t="s">
        <v>418</v>
      </c>
      <c r="B55" s="65" t="s">
        <v>419</v>
      </c>
      <c r="C55" s="66" t="s">
        <v>342</v>
      </c>
      <c r="D55" s="86">
        <v>18674</v>
      </c>
    </row>
    <row r="56" spans="1:4" x14ac:dyDescent="0.25">
      <c r="A56" s="64" t="s">
        <v>420</v>
      </c>
      <c r="B56" s="65" t="s">
        <v>421</v>
      </c>
      <c r="C56" s="66" t="s">
        <v>342</v>
      </c>
      <c r="D56" s="86">
        <v>14948</v>
      </c>
    </row>
    <row r="57" spans="1:4" x14ac:dyDescent="0.25">
      <c r="A57" s="87"/>
      <c r="B57" s="69" t="s">
        <v>422</v>
      </c>
      <c r="C57" s="70"/>
      <c r="D57" s="88"/>
    </row>
    <row r="58" spans="1:4" x14ac:dyDescent="0.25">
      <c r="A58" s="64" t="s">
        <v>423</v>
      </c>
      <c r="B58" s="72" t="s">
        <v>424</v>
      </c>
      <c r="C58" s="73" t="s">
        <v>401</v>
      </c>
      <c r="D58" s="86">
        <v>26.95</v>
      </c>
    </row>
    <row r="59" spans="1:4" x14ac:dyDescent="0.25">
      <c r="A59" s="64" t="s">
        <v>425</v>
      </c>
      <c r="B59" s="72" t="s">
        <v>426</v>
      </c>
      <c r="C59" s="73" t="s">
        <v>401</v>
      </c>
      <c r="D59" s="86">
        <v>32.700000000000003</v>
      </c>
    </row>
    <row r="60" spans="1:4" x14ac:dyDescent="0.25">
      <c r="A60" s="64" t="s">
        <v>427</v>
      </c>
      <c r="B60" s="72" t="s">
        <v>428</v>
      </c>
      <c r="C60" s="73" t="s">
        <v>401</v>
      </c>
      <c r="D60" s="86">
        <v>50</v>
      </c>
    </row>
    <row r="61" spans="1:4" x14ac:dyDescent="0.25">
      <c r="A61" s="87"/>
      <c r="B61" s="69" t="s">
        <v>429</v>
      </c>
      <c r="C61" s="70"/>
      <c r="D61" s="88"/>
    </row>
    <row r="62" spans="1:4" x14ac:dyDescent="0.25">
      <c r="A62" s="64" t="s">
        <v>430</v>
      </c>
      <c r="B62" s="65" t="s">
        <v>431</v>
      </c>
      <c r="C62" s="66" t="s">
        <v>40</v>
      </c>
      <c r="D62" s="86">
        <v>449.4</v>
      </c>
    </row>
    <row r="63" spans="1:4" x14ac:dyDescent="0.25">
      <c r="A63" s="64" t="s">
        <v>432</v>
      </c>
      <c r="B63" s="65" t="s">
        <v>433</v>
      </c>
      <c r="C63" s="66" t="s">
        <v>401</v>
      </c>
      <c r="D63" s="86">
        <v>165.6</v>
      </c>
    </row>
    <row r="64" spans="1:4" x14ac:dyDescent="0.25">
      <c r="A64" s="64" t="s">
        <v>434</v>
      </c>
      <c r="B64" s="65" t="s">
        <v>435</v>
      </c>
      <c r="C64" s="66" t="s">
        <v>40</v>
      </c>
      <c r="D64" s="86">
        <v>147.44999999999999</v>
      </c>
    </row>
    <row r="65" spans="1:4" x14ac:dyDescent="0.25">
      <c r="A65" s="64" t="s">
        <v>436</v>
      </c>
      <c r="B65" s="65" t="s">
        <v>437</v>
      </c>
      <c r="C65" s="66" t="s">
        <v>40</v>
      </c>
      <c r="D65" s="86">
        <v>358.5</v>
      </c>
    </row>
    <row r="66" spans="1:4" x14ac:dyDescent="0.25">
      <c r="A66" s="64" t="s">
        <v>438</v>
      </c>
      <c r="B66" s="65" t="s">
        <v>439</v>
      </c>
      <c r="C66" s="66" t="s">
        <v>40</v>
      </c>
      <c r="D66" s="86">
        <v>388.8</v>
      </c>
    </row>
    <row r="67" spans="1:4" x14ac:dyDescent="0.25">
      <c r="A67" s="64" t="s">
        <v>440</v>
      </c>
      <c r="B67" s="65" t="s">
        <v>441</v>
      </c>
      <c r="C67" s="66" t="s">
        <v>40</v>
      </c>
      <c r="D67" s="86">
        <v>4893</v>
      </c>
    </row>
    <row r="68" spans="1:4" x14ac:dyDescent="0.25">
      <c r="A68" s="64" t="s">
        <v>442</v>
      </c>
      <c r="B68" s="65" t="s">
        <v>443</v>
      </c>
      <c r="C68" s="66" t="s">
        <v>444</v>
      </c>
      <c r="D68" s="86">
        <v>356.5</v>
      </c>
    </row>
    <row r="69" spans="1:4" x14ac:dyDescent="0.25">
      <c r="A69" s="64" t="s">
        <v>445</v>
      </c>
      <c r="B69" s="65" t="s">
        <v>446</v>
      </c>
      <c r="C69" s="66" t="s">
        <v>40</v>
      </c>
      <c r="D69" s="86">
        <v>648.4</v>
      </c>
    </row>
    <row r="70" spans="1:4" x14ac:dyDescent="0.25">
      <c r="A70" s="87"/>
      <c r="B70" s="69" t="s">
        <v>447</v>
      </c>
      <c r="C70" s="70"/>
      <c r="D70" s="88"/>
    </row>
    <row r="71" spans="1:4" x14ac:dyDescent="0.25">
      <c r="A71" s="64" t="s">
        <v>448</v>
      </c>
      <c r="B71" s="65" t="s">
        <v>449</v>
      </c>
      <c r="C71" s="66" t="s">
        <v>40</v>
      </c>
      <c r="D71" s="86">
        <v>583.20000000000005</v>
      </c>
    </row>
    <row r="72" spans="1:4" x14ac:dyDescent="0.25">
      <c r="A72" s="64" t="s">
        <v>450</v>
      </c>
      <c r="B72" s="65" t="s">
        <v>451</v>
      </c>
      <c r="C72" s="66" t="s">
        <v>40</v>
      </c>
      <c r="D72" s="86">
        <v>653.1</v>
      </c>
    </row>
    <row r="73" spans="1:4" x14ac:dyDescent="0.25">
      <c r="A73" s="64" t="s">
        <v>452</v>
      </c>
      <c r="B73" s="65" t="s">
        <v>453</v>
      </c>
      <c r="C73" s="66" t="s">
        <v>40</v>
      </c>
      <c r="D73" s="86">
        <v>754</v>
      </c>
    </row>
    <row r="74" spans="1:4" x14ac:dyDescent="0.25">
      <c r="A74" s="64" t="s">
        <v>454</v>
      </c>
      <c r="B74" s="65" t="s">
        <v>455</v>
      </c>
      <c r="C74" s="66" t="s">
        <v>40</v>
      </c>
      <c r="D74" s="86">
        <v>875.4</v>
      </c>
    </row>
    <row r="75" spans="1:4" x14ac:dyDescent="0.25">
      <c r="A75" s="64" t="s">
        <v>117</v>
      </c>
      <c r="B75" s="65" t="s">
        <v>118</v>
      </c>
      <c r="C75" s="66" t="s">
        <v>40</v>
      </c>
      <c r="D75" s="86">
        <v>1362.9</v>
      </c>
    </row>
    <row r="76" spans="1:4" x14ac:dyDescent="0.25">
      <c r="A76" s="64" t="s">
        <v>456</v>
      </c>
      <c r="B76" s="65" t="s">
        <v>457</v>
      </c>
      <c r="C76" s="66" t="s">
        <v>40</v>
      </c>
      <c r="D76" s="86">
        <v>1170.5</v>
      </c>
    </row>
    <row r="77" spans="1:4" x14ac:dyDescent="0.25">
      <c r="A77" s="64" t="s">
        <v>136</v>
      </c>
      <c r="B77" s="65" t="s">
        <v>135</v>
      </c>
      <c r="C77" s="66" t="s">
        <v>40</v>
      </c>
      <c r="D77" s="86">
        <v>1897.4</v>
      </c>
    </row>
    <row r="78" spans="1:4" x14ac:dyDescent="0.25">
      <c r="A78" s="64" t="s">
        <v>458</v>
      </c>
      <c r="B78" s="65" t="s">
        <v>459</v>
      </c>
      <c r="C78" s="66" t="s">
        <v>40</v>
      </c>
      <c r="D78" s="86">
        <v>1760.5</v>
      </c>
    </row>
    <row r="79" spans="1:4" x14ac:dyDescent="0.25">
      <c r="A79" s="64" t="s">
        <v>460</v>
      </c>
      <c r="B79" s="65" t="s">
        <v>461</v>
      </c>
      <c r="C79" s="66" t="s">
        <v>40</v>
      </c>
      <c r="D79" s="86">
        <v>1294.4000000000001</v>
      </c>
    </row>
    <row r="80" spans="1:4" x14ac:dyDescent="0.25">
      <c r="A80" s="64" t="s">
        <v>462</v>
      </c>
      <c r="B80" s="65" t="s">
        <v>463</v>
      </c>
      <c r="C80" s="66" t="s">
        <v>40</v>
      </c>
      <c r="D80" s="86">
        <v>875.4</v>
      </c>
    </row>
    <row r="81" spans="1:4" x14ac:dyDescent="0.25">
      <c r="A81" s="64" t="s">
        <v>464</v>
      </c>
      <c r="B81" s="65" t="s">
        <v>465</v>
      </c>
      <c r="C81" s="66" t="s">
        <v>40</v>
      </c>
      <c r="D81" s="86">
        <v>787.5</v>
      </c>
    </row>
    <row r="82" spans="1:4" x14ac:dyDescent="0.25">
      <c r="A82" s="87"/>
      <c r="B82" s="69" t="s">
        <v>466</v>
      </c>
      <c r="C82" s="70"/>
      <c r="D82" s="88"/>
    </row>
    <row r="83" spans="1:4" x14ac:dyDescent="0.25">
      <c r="A83" s="64" t="s">
        <v>467</v>
      </c>
      <c r="B83" s="65" t="s">
        <v>468</v>
      </c>
      <c r="C83" s="66" t="s">
        <v>40</v>
      </c>
      <c r="D83" s="86">
        <v>97.75</v>
      </c>
    </row>
    <row r="84" spans="1:4" x14ac:dyDescent="0.25">
      <c r="A84" s="64" t="s">
        <v>469</v>
      </c>
      <c r="B84" s="65" t="s">
        <v>470</v>
      </c>
      <c r="C84" s="66" t="s">
        <v>40</v>
      </c>
      <c r="D84" s="86">
        <v>98.75</v>
      </c>
    </row>
    <row r="85" spans="1:4" x14ac:dyDescent="0.25">
      <c r="A85" s="64" t="s">
        <v>471</v>
      </c>
      <c r="B85" s="65" t="s">
        <v>472</v>
      </c>
      <c r="C85" s="66" t="s">
        <v>40</v>
      </c>
      <c r="D85" s="86">
        <v>97.75</v>
      </c>
    </row>
    <row r="86" spans="1:4" x14ac:dyDescent="0.25">
      <c r="A86" s="64" t="s">
        <v>473</v>
      </c>
      <c r="B86" s="65" t="s">
        <v>474</v>
      </c>
      <c r="C86" s="66" t="s">
        <v>40</v>
      </c>
      <c r="D86" s="86">
        <v>97.75</v>
      </c>
    </row>
    <row r="87" spans="1:4" x14ac:dyDescent="0.25">
      <c r="A87" s="64" t="s">
        <v>475</v>
      </c>
      <c r="B87" s="65" t="s">
        <v>476</v>
      </c>
      <c r="C87" s="66" t="s">
        <v>40</v>
      </c>
      <c r="D87" s="86">
        <v>114.1</v>
      </c>
    </row>
    <row r="88" spans="1:4" x14ac:dyDescent="0.25">
      <c r="A88" s="64" t="s">
        <v>477</v>
      </c>
      <c r="B88" s="65" t="s">
        <v>478</v>
      </c>
      <c r="C88" s="66" t="s">
        <v>40</v>
      </c>
      <c r="D88" s="86">
        <v>185.8</v>
      </c>
    </row>
    <row r="89" spans="1:4" x14ac:dyDescent="0.25">
      <c r="A89" s="64" t="s">
        <v>479</v>
      </c>
      <c r="B89" s="65" t="s">
        <v>480</v>
      </c>
      <c r="C89" s="66" t="s">
        <v>40</v>
      </c>
      <c r="D89" s="86">
        <v>222.7</v>
      </c>
    </row>
    <row r="90" spans="1:4" x14ac:dyDescent="0.25">
      <c r="A90" s="64" t="s">
        <v>481</v>
      </c>
      <c r="B90" s="65" t="s">
        <v>482</v>
      </c>
      <c r="C90" s="66" t="s">
        <v>40</v>
      </c>
      <c r="D90" s="86">
        <v>166.5</v>
      </c>
    </row>
    <row r="91" spans="1:4" x14ac:dyDescent="0.25">
      <c r="A91" s="64" t="s">
        <v>483</v>
      </c>
      <c r="B91" s="65" t="s">
        <v>484</v>
      </c>
      <c r="C91" s="66" t="s">
        <v>40</v>
      </c>
      <c r="D91" s="86">
        <v>121.9</v>
      </c>
    </row>
    <row r="92" spans="1:4" x14ac:dyDescent="0.25">
      <c r="A92" s="64" t="s">
        <v>485</v>
      </c>
      <c r="B92" s="65" t="s">
        <v>486</v>
      </c>
      <c r="C92" s="66" t="s">
        <v>40</v>
      </c>
      <c r="D92" s="86">
        <v>96.65</v>
      </c>
    </row>
    <row r="93" spans="1:4" x14ac:dyDescent="0.25">
      <c r="A93" s="64" t="s">
        <v>487</v>
      </c>
      <c r="B93" s="65" t="s">
        <v>488</v>
      </c>
      <c r="C93" s="66" t="s">
        <v>40</v>
      </c>
      <c r="D93" s="86">
        <v>95.65</v>
      </c>
    </row>
    <row r="94" spans="1:4" x14ac:dyDescent="0.25">
      <c r="A94" s="64" t="s">
        <v>115</v>
      </c>
      <c r="B94" s="65" t="s">
        <v>489</v>
      </c>
      <c r="C94" s="66" t="s">
        <v>40</v>
      </c>
      <c r="D94" s="86">
        <v>1578.8</v>
      </c>
    </row>
    <row r="95" spans="1:4" x14ac:dyDescent="0.25">
      <c r="A95" s="64" t="s">
        <v>490</v>
      </c>
      <c r="B95" s="65" t="s">
        <v>491</v>
      </c>
      <c r="C95" s="66" t="s">
        <v>40</v>
      </c>
      <c r="D95" s="86">
        <v>1584.7</v>
      </c>
    </row>
    <row r="96" spans="1:4" ht="63.75" x14ac:dyDescent="0.25">
      <c r="A96" s="64" t="s">
        <v>492</v>
      </c>
      <c r="B96" s="65" t="s">
        <v>493</v>
      </c>
      <c r="C96" s="66" t="s">
        <v>40</v>
      </c>
      <c r="D96" s="89" t="s">
        <v>780</v>
      </c>
    </row>
    <row r="97" spans="1:4" x14ac:dyDescent="0.25">
      <c r="A97" s="64" t="s">
        <v>494</v>
      </c>
      <c r="B97" s="65" t="s">
        <v>495</v>
      </c>
      <c r="C97" s="66" t="s">
        <v>40</v>
      </c>
      <c r="D97" s="90"/>
    </row>
    <row r="98" spans="1:4" x14ac:dyDescent="0.25">
      <c r="A98" s="64" t="s">
        <v>496</v>
      </c>
      <c r="B98" s="65" t="s">
        <v>497</v>
      </c>
      <c r="C98" s="66" t="s">
        <v>40</v>
      </c>
      <c r="D98" s="86">
        <v>37.35</v>
      </c>
    </row>
    <row r="99" spans="1:4" x14ac:dyDescent="0.25">
      <c r="A99" s="64" t="s">
        <v>498</v>
      </c>
      <c r="B99" s="65" t="s">
        <v>499</v>
      </c>
      <c r="C99" s="66" t="s">
        <v>444</v>
      </c>
      <c r="D99" s="86">
        <v>425</v>
      </c>
    </row>
    <row r="100" spans="1:4" x14ac:dyDescent="0.25">
      <c r="A100" s="64" t="s">
        <v>500</v>
      </c>
      <c r="B100" s="65" t="s">
        <v>501</v>
      </c>
      <c r="C100" s="66" t="s">
        <v>444</v>
      </c>
      <c r="D100" s="86">
        <v>408</v>
      </c>
    </row>
    <row r="101" spans="1:4" x14ac:dyDescent="0.25">
      <c r="A101" s="64" t="s">
        <v>502</v>
      </c>
      <c r="B101" s="65" t="s">
        <v>503</v>
      </c>
      <c r="C101" s="66" t="s">
        <v>444</v>
      </c>
      <c r="D101" s="86">
        <v>376.7</v>
      </c>
    </row>
    <row r="102" spans="1:4" x14ac:dyDescent="0.25">
      <c r="A102" s="87"/>
      <c r="B102" s="69" t="s">
        <v>504</v>
      </c>
      <c r="C102" s="70"/>
      <c r="D102" s="88"/>
    </row>
    <row r="103" spans="1:4" x14ac:dyDescent="0.25">
      <c r="A103" s="64" t="s">
        <v>505</v>
      </c>
      <c r="B103" s="65" t="s">
        <v>506</v>
      </c>
      <c r="C103" s="66" t="s">
        <v>40</v>
      </c>
      <c r="D103" s="86">
        <v>1348</v>
      </c>
    </row>
    <row r="104" spans="1:4" x14ac:dyDescent="0.25">
      <c r="A104" s="64" t="s">
        <v>507</v>
      </c>
      <c r="B104" s="65" t="s">
        <v>508</v>
      </c>
      <c r="C104" s="66" t="s">
        <v>40</v>
      </c>
      <c r="D104" s="86">
        <v>993</v>
      </c>
    </row>
    <row r="105" spans="1:4" x14ac:dyDescent="0.25">
      <c r="A105" s="64" t="s">
        <v>509</v>
      </c>
      <c r="B105" s="65" t="s">
        <v>510</v>
      </c>
      <c r="C105" s="66" t="s">
        <v>40</v>
      </c>
      <c r="D105" s="86">
        <v>85.6</v>
      </c>
    </row>
    <row r="106" spans="1:4" x14ac:dyDescent="0.25">
      <c r="A106" s="64" t="s">
        <v>511</v>
      </c>
      <c r="B106" s="65" t="s">
        <v>512</v>
      </c>
      <c r="C106" s="66" t="s">
        <v>40</v>
      </c>
      <c r="D106" s="86">
        <v>10345</v>
      </c>
    </row>
    <row r="107" spans="1:4" x14ac:dyDescent="0.25">
      <c r="A107" s="64" t="s">
        <v>513</v>
      </c>
      <c r="B107" s="65" t="s">
        <v>514</v>
      </c>
      <c r="C107" s="66" t="s">
        <v>40</v>
      </c>
      <c r="D107" s="86">
        <v>15500</v>
      </c>
    </row>
    <row r="108" spans="1:4" x14ac:dyDescent="0.25">
      <c r="A108" s="87"/>
      <c r="B108" s="69" t="s">
        <v>515</v>
      </c>
      <c r="C108" s="70"/>
      <c r="D108" s="88"/>
    </row>
    <row r="109" spans="1:4" x14ac:dyDescent="0.25">
      <c r="A109" s="64" t="s">
        <v>516</v>
      </c>
      <c r="B109" s="65" t="s">
        <v>517</v>
      </c>
      <c r="C109" s="66" t="s">
        <v>40</v>
      </c>
      <c r="D109" s="86">
        <v>116600</v>
      </c>
    </row>
    <row r="110" spans="1:4" x14ac:dyDescent="0.25">
      <c r="A110" s="64" t="s">
        <v>518</v>
      </c>
      <c r="B110" s="65" t="s">
        <v>519</v>
      </c>
      <c r="C110" s="66" t="s">
        <v>40</v>
      </c>
      <c r="D110" s="86">
        <v>114700</v>
      </c>
    </row>
    <row r="111" spans="1:4" x14ac:dyDescent="0.25">
      <c r="A111" s="64" t="s">
        <v>520</v>
      </c>
      <c r="B111" s="65" t="s">
        <v>521</v>
      </c>
      <c r="C111" s="66" t="s">
        <v>40</v>
      </c>
      <c r="D111" s="86">
        <v>111600</v>
      </c>
    </row>
    <row r="112" spans="1:4" x14ac:dyDescent="0.25">
      <c r="A112" s="64" t="s">
        <v>522</v>
      </c>
      <c r="B112" s="65" t="s">
        <v>523</v>
      </c>
      <c r="C112" s="66" t="s">
        <v>40</v>
      </c>
      <c r="D112" s="86">
        <v>99400</v>
      </c>
    </row>
    <row r="113" spans="1:4" x14ac:dyDescent="0.25">
      <c r="A113" s="64" t="s">
        <v>524</v>
      </c>
      <c r="B113" s="65" t="s">
        <v>525</v>
      </c>
      <c r="C113" s="66" t="s">
        <v>40</v>
      </c>
      <c r="D113" s="86">
        <v>123100</v>
      </c>
    </row>
    <row r="114" spans="1:4" x14ac:dyDescent="0.25">
      <c r="A114" s="64" t="s">
        <v>526</v>
      </c>
      <c r="B114" s="65" t="s">
        <v>527</v>
      </c>
      <c r="C114" s="66" t="s">
        <v>40</v>
      </c>
      <c r="D114" s="86">
        <v>114300</v>
      </c>
    </row>
    <row r="115" spans="1:4" x14ac:dyDescent="0.25">
      <c r="A115" s="64" t="s">
        <v>528</v>
      </c>
      <c r="B115" s="65" t="s">
        <v>529</v>
      </c>
      <c r="C115" s="66" t="s">
        <v>40</v>
      </c>
      <c r="D115" s="86">
        <v>107000</v>
      </c>
    </row>
    <row r="116" spans="1:4" x14ac:dyDescent="0.25">
      <c r="A116" s="64" t="s">
        <v>530</v>
      </c>
      <c r="B116" s="65" t="s">
        <v>531</v>
      </c>
      <c r="C116" s="66" t="s">
        <v>40</v>
      </c>
      <c r="D116" s="86">
        <v>102600</v>
      </c>
    </row>
    <row r="117" spans="1:4" x14ac:dyDescent="0.25">
      <c r="A117" s="64" t="s">
        <v>532</v>
      </c>
      <c r="B117" s="65" t="s">
        <v>533</v>
      </c>
      <c r="C117" s="66" t="s">
        <v>40</v>
      </c>
      <c r="D117" s="86">
        <v>99900</v>
      </c>
    </row>
    <row r="118" spans="1:4" x14ac:dyDescent="0.25">
      <c r="A118" s="64" t="s">
        <v>534</v>
      </c>
      <c r="B118" s="65" t="s">
        <v>535</v>
      </c>
      <c r="C118" s="66" t="s">
        <v>40</v>
      </c>
      <c r="D118" s="86">
        <v>95000</v>
      </c>
    </row>
    <row r="119" spans="1:4" x14ac:dyDescent="0.25">
      <c r="A119" s="64" t="s">
        <v>536</v>
      </c>
      <c r="B119" s="65" t="s">
        <v>537</v>
      </c>
      <c r="C119" s="66" t="s">
        <v>40</v>
      </c>
      <c r="D119" s="86">
        <v>93100</v>
      </c>
    </row>
    <row r="120" spans="1:4" x14ac:dyDescent="0.25">
      <c r="A120" s="64" t="s">
        <v>538</v>
      </c>
      <c r="B120" s="65" t="s">
        <v>539</v>
      </c>
      <c r="C120" s="66" t="s">
        <v>40</v>
      </c>
      <c r="D120" s="86">
        <v>91300</v>
      </c>
    </row>
    <row r="121" spans="1:4" x14ac:dyDescent="0.25">
      <c r="A121" s="64" t="s">
        <v>540</v>
      </c>
      <c r="B121" s="65" t="s">
        <v>541</v>
      </c>
      <c r="C121" s="66" t="s">
        <v>40</v>
      </c>
      <c r="D121" s="86">
        <v>91300</v>
      </c>
    </row>
    <row r="122" spans="1:4" x14ac:dyDescent="0.25">
      <c r="A122" s="64" t="s">
        <v>542</v>
      </c>
      <c r="B122" s="65" t="s">
        <v>543</v>
      </c>
      <c r="C122" s="66" t="s">
        <v>40</v>
      </c>
      <c r="D122" s="86">
        <v>86200</v>
      </c>
    </row>
    <row r="123" spans="1:4" x14ac:dyDescent="0.25">
      <c r="A123" s="64" t="s">
        <v>544</v>
      </c>
      <c r="B123" s="65" t="s">
        <v>545</v>
      </c>
      <c r="C123" s="66" t="s">
        <v>40</v>
      </c>
      <c r="D123" s="86">
        <v>185200</v>
      </c>
    </row>
    <row r="124" spans="1:4" x14ac:dyDescent="0.25">
      <c r="A124" s="87"/>
      <c r="B124" s="69" t="s">
        <v>546</v>
      </c>
      <c r="C124" s="70"/>
      <c r="D124" s="88"/>
    </row>
    <row r="125" spans="1:4" x14ac:dyDescent="0.25">
      <c r="A125" s="64" t="s">
        <v>547</v>
      </c>
      <c r="B125" s="65" t="s">
        <v>548</v>
      </c>
      <c r="C125" s="66" t="s">
        <v>549</v>
      </c>
      <c r="D125" s="86">
        <v>76</v>
      </c>
    </row>
    <row r="126" spans="1:4" x14ac:dyDescent="0.25">
      <c r="A126" s="64" t="s">
        <v>550</v>
      </c>
      <c r="B126" s="65" t="s">
        <v>551</v>
      </c>
      <c r="C126" s="66" t="s">
        <v>549</v>
      </c>
      <c r="D126" s="86">
        <v>61</v>
      </c>
    </row>
    <row r="127" spans="1:4" x14ac:dyDescent="0.25">
      <c r="A127" s="87"/>
      <c r="B127" s="69" t="s">
        <v>552</v>
      </c>
      <c r="C127" s="70"/>
      <c r="D127" s="88"/>
    </row>
    <row r="128" spans="1:4" x14ac:dyDescent="0.25">
      <c r="A128" s="64" t="s">
        <v>553</v>
      </c>
      <c r="B128" s="65" t="s">
        <v>554</v>
      </c>
      <c r="C128" s="66" t="s">
        <v>40</v>
      </c>
      <c r="D128" s="86">
        <v>34300</v>
      </c>
    </row>
    <row r="129" spans="1:4" x14ac:dyDescent="0.25">
      <c r="A129" s="64" t="s">
        <v>555</v>
      </c>
      <c r="B129" s="65" t="s">
        <v>556</v>
      </c>
      <c r="C129" s="66" t="s">
        <v>40</v>
      </c>
      <c r="D129" s="86">
        <v>36200</v>
      </c>
    </row>
    <row r="130" spans="1:4" x14ac:dyDescent="0.25">
      <c r="A130" s="64" t="s">
        <v>557</v>
      </c>
      <c r="B130" s="65" t="s">
        <v>558</v>
      </c>
      <c r="C130" s="66" t="s">
        <v>40</v>
      </c>
      <c r="D130" s="86">
        <v>36200</v>
      </c>
    </row>
    <row r="131" spans="1:4" x14ac:dyDescent="0.25">
      <c r="A131" s="64" t="s">
        <v>559</v>
      </c>
      <c r="B131" s="65" t="s">
        <v>560</v>
      </c>
      <c r="C131" s="66" t="s">
        <v>40</v>
      </c>
      <c r="D131" s="86">
        <v>37900</v>
      </c>
    </row>
    <row r="132" spans="1:4" x14ac:dyDescent="0.25">
      <c r="A132" s="64" t="s">
        <v>561</v>
      </c>
      <c r="B132" s="65" t="s">
        <v>562</v>
      </c>
      <c r="C132" s="66" t="s">
        <v>40</v>
      </c>
      <c r="D132" s="86">
        <v>15500</v>
      </c>
    </row>
    <row r="133" spans="1:4" x14ac:dyDescent="0.25">
      <c r="A133" s="87"/>
      <c r="B133" s="69" t="s">
        <v>563</v>
      </c>
      <c r="C133" s="70"/>
      <c r="D133" s="88"/>
    </row>
    <row r="134" spans="1:4" x14ac:dyDescent="0.25">
      <c r="A134" s="64" t="s">
        <v>564</v>
      </c>
      <c r="B134" s="65" t="s">
        <v>565</v>
      </c>
      <c r="C134" s="66" t="s">
        <v>40</v>
      </c>
      <c r="D134" s="86">
        <v>39400</v>
      </c>
    </row>
    <row r="135" spans="1:4" x14ac:dyDescent="0.25">
      <c r="A135" s="64" t="s">
        <v>566</v>
      </c>
      <c r="B135" s="65" t="s">
        <v>567</v>
      </c>
      <c r="C135" s="66" t="s">
        <v>40</v>
      </c>
      <c r="D135" s="86">
        <v>39400</v>
      </c>
    </row>
    <row r="136" spans="1:4" x14ac:dyDescent="0.25">
      <c r="A136" s="64" t="s">
        <v>568</v>
      </c>
      <c r="B136" s="65" t="s">
        <v>569</v>
      </c>
      <c r="C136" s="66" t="s">
        <v>40</v>
      </c>
      <c r="D136" s="86">
        <v>39400</v>
      </c>
    </row>
    <row r="137" spans="1:4" x14ac:dyDescent="0.25">
      <c r="A137" s="64" t="s">
        <v>570</v>
      </c>
      <c r="B137" s="65" t="s">
        <v>571</v>
      </c>
      <c r="C137" s="66" t="s">
        <v>40</v>
      </c>
      <c r="D137" s="86">
        <v>39400</v>
      </c>
    </row>
    <row r="138" spans="1:4" x14ac:dyDescent="0.25">
      <c r="A138" s="64" t="s">
        <v>572</v>
      </c>
      <c r="B138" s="65" t="s">
        <v>573</v>
      </c>
      <c r="C138" s="66" t="s">
        <v>40</v>
      </c>
      <c r="D138" s="86">
        <v>41300</v>
      </c>
    </row>
    <row r="139" spans="1:4" x14ac:dyDescent="0.25">
      <c r="A139" s="64" t="s">
        <v>574</v>
      </c>
      <c r="B139" s="65" t="s">
        <v>575</v>
      </c>
      <c r="C139" s="66" t="s">
        <v>40</v>
      </c>
      <c r="D139" s="86">
        <v>17600</v>
      </c>
    </row>
    <row r="140" spans="1:4" x14ac:dyDescent="0.25">
      <c r="A140" s="64" t="s">
        <v>576</v>
      </c>
      <c r="B140" s="65" t="s">
        <v>577</v>
      </c>
      <c r="C140" s="66" t="s">
        <v>40</v>
      </c>
      <c r="D140" s="86">
        <v>18100</v>
      </c>
    </row>
    <row r="141" spans="1:4" x14ac:dyDescent="0.25">
      <c r="A141" s="87"/>
      <c r="B141" s="69" t="s">
        <v>578</v>
      </c>
      <c r="C141" s="70"/>
      <c r="D141" s="88"/>
    </row>
    <row r="142" spans="1:4" x14ac:dyDescent="0.25">
      <c r="A142" s="64" t="s">
        <v>579</v>
      </c>
      <c r="B142" s="65" t="s">
        <v>580</v>
      </c>
      <c r="C142" s="66" t="s">
        <v>549</v>
      </c>
      <c r="D142" s="86">
        <v>34.6</v>
      </c>
    </row>
    <row r="143" spans="1:4" x14ac:dyDescent="0.25">
      <c r="A143" s="64" t="s">
        <v>581</v>
      </c>
      <c r="B143" s="65" t="s">
        <v>582</v>
      </c>
      <c r="C143" s="66" t="s">
        <v>549</v>
      </c>
      <c r="D143" s="86">
        <v>24.9</v>
      </c>
    </row>
    <row r="144" spans="1:4" x14ac:dyDescent="0.25">
      <c r="A144" s="64" t="s">
        <v>583</v>
      </c>
      <c r="B144" s="65" t="s">
        <v>584</v>
      </c>
      <c r="C144" s="66" t="s">
        <v>40</v>
      </c>
      <c r="D144" s="86">
        <v>16700</v>
      </c>
    </row>
    <row r="145" spans="1:4" x14ac:dyDescent="0.25">
      <c r="A145" s="64" t="s">
        <v>585</v>
      </c>
      <c r="B145" s="65" t="s">
        <v>586</v>
      </c>
      <c r="C145" s="66" t="s">
        <v>549</v>
      </c>
      <c r="D145" s="86">
        <v>49.5</v>
      </c>
    </row>
    <row r="146" spans="1:4" x14ac:dyDescent="0.25">
      <c r="A146" s="64" t="s">
        <v>587</v>
      </c>
      <c r="B146" s="65" t="s">
        <v>588</v>
      </c>
      <c r="C146" s="66" t="s">
        <v>589</v>
      </c>
      <c r="D146" s="86">
        <v>255</v>
      </c>
    </row>
    <row r="147" spans="1:4" x14ac:dyDescent="0.25">
      <c r="A147" s="64" t="s">
        <v>590</v>
      </c>
      <c r="B147" s="65" t="s">
        <v>591</v>
      </c>
      <c r="C147" s="66" t="s">
        <v>589</v>
      </c>
      <c r="D147" s="86">
        <v>40.200000000000003</v>
      </c>
    </row>
    <row r="148" spans="1:4" x14ac:dyDescent="0.25">
      <c r="A148" s="87"/>
      <c r="B148" s="69" t="s">
        <v>592</v>
      </c>
      <c r="C148" s="70"/>
      <c r="D148" s="88"/>
    </row>
    <row r="149" spans="1:4" x14ac:dyDescent="0.25">
      <c r="A149" s="64" t="s">
        <v>593</v>
      </c>
      <c r="B149" s="65" t="s">
        <v>594</v>
      </c>
      <c r="C149" s="66" t="s">
        <v>549</v>
      </c>
      <c r="D149" s="86">
        <v>33</v>
      </c>
    </row>
    <row r="150" spans="1:4" x14ac:dyDescent="0.25">
      <c r="A150" s="64" t="s">
        <v>595</v>
      </c>
      <c r="B150" s="65" t="s">
        <v>596</v>
      </c>
      <c r="C150" s="66" t="s">
        <v>549</v>
      </c>
      <c r="D150" s="86">
        <v>25.2</v>
      </c>
    </row>
    <row r="151" spans="1:4" x14ac:dyDescent="0.25">
      <c r="A151" s="64" t="s">
        <v>597</v>
      </c>
      <c r="B151" s="65" t="s">
        <v>598</v>
      </c>
      <c r="C151" s="66" t="s">
        <v>549</v>
      </c>
      <c r="D151" s="86">
        <v>19.2</v>
      </c>
    </row>
    <row r="152" spans="1:4" x14ac:dyDescent="0.25">
      <c r="A152" s="64" t="s">
        <v>599</v>
      </c>
      <c r="B152" s="65" t="s">
        <v>600</v>
      </c>
      <c r="C152" s="66" t="s">
        <v>549</v>
      </c>
      <c r="D152" s="86">
        <v>17.5</v>
      </c>
    </row>
    <row r="153" spans="1:4" x14ac:dyDescent="0.25">
      <c r="A153" s="87"/>
      <c r="B153" s="69" t="s">
        <v>601</v>
      </c>
      <c r="C153" s="70"/>
      <c r="D153" s="88"/>
    </row>
    <row r="154" spans="1:4" x14ac:dyDescent="0.25">
      <c r="A154" s="64" t="s">
        <v>602</v>
      </c>
      <c r="B154" s="65" t="s">
        <v>603</v>
      </c>
      <c r="C154" s="66" t="s">
        <v>549</v>
      </c>
      <c r="D154" s="86">
        <v>33</v>
      </c>
    </row>
    <row r="155" spans="1:4" x14ac:dyDescent="0.25">
      <c r="A155" s="64" t="s">
        <v>604</v>
      </c>
      <c r="B155" s="65" t="s">
        <v>605</v>
      </c>
      <c r="C155" s="66" t="s">
        <v>549</v>
      </c>
      <c r="D155" s="86">
        <v>23.6</v>
      </c>
    </row>
    <row r="156" spans="1:4" x14ac:dyDescent="0.25">
      <c r="A156" s="64" t="s">
        <v>606</v>
      </c>
      <c r="B156" s="65" t="s">
        <v>607</v>
      </c>
      <c r="C156" s="66" t="s">
        <v>549</v>
      </c>
      <c r="D156" s="86">
        <v>19.2</v>
      </c>
    </row>
    <row r="157" spans="1:4" x14ac:dyDescent="0.25">
      <c r="A157" s="64" t="s">
        <v>608</v>
      </c>
      <c r="B157" s="72" t="s">
        <v>609</v>
      </c>
      <c r="C157" s="73" t="s">
        <v>549</v>
      </c>
      <c r="D157" s="86">
        <v>16.399999999999999</v>
      </c>
    </row>
    <row r="158" spans="1:4" x14ac:dyDescent="0.25">
      <c r="A158" s="64" t="s">
        <v>610</v>
      </c>
      <c r="B158" s="72" t="s">
        <v>611</v>
      </c>
      <c r="C158" s="73" t="s">
        <v>549</v>
      </c>
      <c r="D158" s="86">
        <v>15</v>
      </c>
    </row>
    <row r="159" spans="1:4" x14ac:dyDescent="0.25">
      <c r="A159" s="64" t="s">
        <v>612</v>
      </c>
      <c r="B159" s="65" t="s">
        <v>613</v>
      </c>
      <c r="C159" s="66" t="s">
        <v>549</v>
      </c>
      <c r="D159" s="86">
        <v>12</v>
      </c>
    </row>
    <row r="160" spans="1:4" x14ac:dyDescent="0.25">
      <c r="A160" s="64" t="s">
        <v>614</v>
      </c>
      <c r="B160" s="65" t="s">
        <v>615</v>
      </c>
      <c r="C160" s="66" t="s">
        <v>549</v>
      </c>
      <c r="D160" s="86">
        <v>13.5</v>
      </c>
    </row>
    <row r="161" spans="1:4" x14ac:dyDescent="0.25">
      <c r="A161" s="64" t="s">
        <v>616</v>
      </c>
      <c r="B161" s="65" t="s">
        <v>617</v>
      </c>
      <c r="C161" s="66" t="s">
        <v>549</v>
      </c>
      <c r="D161" s="86">
        <v>12</v>
      </c>
    </row>
    <row r="162" spans="1:4" x14ac:dyDescent="0.25">
      <c r="A162" s="64" t="s">
        <v>618</v>
      </c>
      <c r="B162" s="65" t="s">
        <v>619</v>
      </c>
      <c r="C162" s="66" t="s">
        <v>549</v>
      </c>
      <c r="D162" s="86">
        <v>10.6</v>
      </c>
    </row>
    <row r="163" spans="1:4" x14ac:dyDescent="0.25">
      <c r="A163" s="87"/>
      <c r="B163" s="69" t="s">
        <v>620</v>
      </c>
      <c r="C163" s="70"/>
      <c r="D163" s="88"/>
    </row>
    <row r="164" spans="1:4" x14ac:dyDescent="0.25">
      <c r="A164" s="64" t="s">
        <v>621</v>
      </c>
      <c r="B164" s="65" t="s">
        <v>622</v>
      </c>
      <c r="C164" s="66" t="s">
        <v>143</v>
      </c>
      <c r="D164" s="86">
        <v>53</v>
      </c>
    </row>
    <row r="165" spans="1:4" x14ac:dyDescent="0.25">
      <c r="A165" s="64" t="s">
        <v>623</v>
      </c>
      <c r="B165" s="65" t="s">
        <v>624</v>
      </c>
      <c r="C165" s="66" t="s">
        <v>143</v>
      </c>
      <c r="D165" s="86">
        <v>53</v>
      </c>
    </row>
    <row r="166" spans="1:4" x14ac:dyDescent="0.25">
      <c r="A166" s="64" t="s">
        <v>141</v>
      </c>
      <c r="B166" s="65" t="s">
        <v>625</v>
      </c>
      <c r="C166" s="66" t="s">
        <v>143</v>
      </c>
      <c r="D166" s="86">
        <v>56.35</v>
      </c>
    </row>
    <row r="167" spans="1:4" x14ac:dyDescent="0.25">
      <c r="A167" s="64" t="s">
        <v>626</v>
      </c>
      <c r="B167" s="65" t="s">
        <v>627</v>
      </c>
      <c r="C167" s="66" t="s">
        <v>143</v>
      </c>
      <c r="D167" s="86">
        <v>56.35</v>
      </c>
    </row>
    <row r="168" spans="1:4" x14ac:dyDescent="0.25">
      <c r="A168" s="64" t="s">
        <v>628</v>
      </c>
      <c r="B168" s="65" t="s">
        <v>629</v>
      </c>
      <c r="C168" s="66" t="s">
        <v>444</v>
      </c>
      <c r="D168" s="86">
        <v>391.1</v>
      </c>
    </row>
    <row r="169" spans="1:4" x14ac:dyDescent="0.25">
      <c r="A169" s="64" t="s">
        <v>630</v>
      </c>
      <c r="B169" s="65" t="s">
        <v>631</v>
      </c>
      <c r="C169" s="66" t="s">
        <v>444</v>
      </c>
      <c r="D169" s="86">
        <v>379.9</v>
      </c>
    </row>
    <row r="170" spans="1:4" x14ac:dyDescent="0.25">
      <c r="A170" s="64" t="s">
        <v>632</v>
      </c>
      <c r="B170" s="65" t="s">
        <v>633</v>
      </c>
      <c r="C170" s="66" t="s">
        <v>444</v>
      </c>
      <c r="D170" s="86">
        <v>339.6</v>
      </c>
    </row>
    <row r="171" spans="1:4" x14ac:dyDescent="0.25">
      <c r="A171" s="64" t="s">
        <v>634</v>
      </c>
      <c r="B171" s="65" t="s">
        <v>635</v>
      </c>
      <c r="C171" s="66" t="s">
        <v>444</v>
      </c>
      <c r="D171" s="86">
        <v>183.8</v>
      </c>
    </row>
    <row r="172" spans="1:4" x14ac:dyDescent="0.25">
      <c r="A172" s="64" t="s">
        <v>636</v>
      </c>
      <c r="B172" s="65" t="s">
        <v>637</v>
      </c>
      <c r="C172" s="66" t="s">
        <v>444</v>
      </c>
      <c r="D172" s="86">
        <v>40.65</v>
      </c>
    </row>
    <row r="173" spans="1:4" x14ac:dyDescent="0.25">
      <c r="A173" s="64" t="s">
        <v>638</v>
      </c>
      <c r="B173" s="65" t="s">
        <v>639</v>
      </c>
      <c r="C173" s="66" t="s">
        <v>444</v>
      </c>
      <c r="D173" s="86">
        <v>116.55</v>
      </c>
    </row>
    <row r="174" spans="1:4" x14ac:dyDescent="0.25">
      <c r="A174" s="64" t="s">
        <v>640</v>
      </c>
      <c r="B174" s="72" t="s">
        <v>641</v>
      </c>
      <c r="C174" s="73" t="s">
        <v>143</v>
      </c>
      <c r="D174" s="91">
        <v>70.150000000000006</v>
      </c>
    </row>
    <row r="175" spans="1:4" x14ac:dyDescent="0.25">
      <c r="A175" s="87"/>
      <c r="B175" s="69" t="s">
        <v>642</v>
      </c>
      <c r="C175" s="70"/>
      <c r="D175" s="88"/>
    </row>
    <row r="176" spans="1:4" x14ac:dyDescent="0.25">
      <c r="A176" s="64" t="s">
        <v>643</v>
      </c>
      <c r="B176" s="65" t="s">
        <v>644</v>
      </c>
      <c r="C176" s="66" t="s">
        <v>645</v>
      </c>
      <c r="D176" s="86">
        <v>44000</v>
      </c>
    </row>
    <row r="177" spans="1:4" x14ac:dyDescent="0.25">
      <c r="A177" s="64" t="s">
        <v>646</v>
      </c>
      <c r="B177" s="65" t="s">
        <v>647</v>
      </c>
      <c r="C177" s="66" t="s">
        <v>648</v>
      </c>
      <c r="D177" s="86">
        <v>135</v>
      </c>
    </row>
    <row r="178" spans="1:4" x14ac:dyDescent="0.25">
      <c r="A178" s="64" t="s">
        <v>649</v>
      </c>
      <c r="B178" s="65" t="s">
        <v>650</v>
      </c>
      <c r="C178" s="66" t="s">
        <v>444</v>
      </c>
      <c r="D178" s="86">
        <v>470</v>
      </c>
    </row>
    <row r="179" spans="1:4" x14ac:dyDescent="0.25">
      <c r="A179" s="64" t="s">
        <v>651</v>
      </c>
      <c r="B179" s="65" t="s">
        <v>652</v>
      </c>
      <c r="C179" s="66" t="s">
        <v>653</v>
      </c>
      <c r="D179" s="92">
        <v>800</v>
      </c>
    </row>
    <row r="180" spans="1:4" x14ac:dyDescent="0.25">
      <c r="A180" s="64" t="s">
        <v>654</v>
      </c>
      <c r="B180" s="65" t="s">
        <v>655</v>
      </c>
      <c r="C180" s="66" t="s">
        <v>444</v>
      </c>
      <c r="D180" s="92">
        <v>700</v>
      </c>
    </row>
    <row r="181" spans="1:4" x14ac:dyDescent="0.25">
      <c r="A181" s="64" t="s">
        <v>656</v>
      </c>
      <c r="B181" s="65" t="s">
        <v>657</v>
      </c>
      <c r="C181" s="66" t="s">
        <v>648</v>
      </c>
      <c r="D181" s="86">
        <v>600</v>
      </c>
    </row>
    <row r="182" spans="1:4" x14ac:dyDescent="0.25">
      <c r="A182" s="64" t="s">
        <v>658</v>
      </c>
      <c r="B182" s="65" t="s">
        <v>659</v>
      </c>
      <c r="C182" s="66" t="s">
        <v>660</v>
      </c>
      <c r="D182" s="92">
        <v>18</v>
      </c>
    </row>
    <row r="183" spans="1:4" ht="25.5" x14ac:dyDescent="0.25">
      <c r="A183" s="64" t="s">
        <v>661</v>
      </c>
      <c r="B183" s="65" t="s">
        <v>662</v>
      </c>
      <c r="C183" s="66" t="s">
        <v>444</v>
      </c>
      <c r="D183" s="86">
        <v>4520</v>
      </c>
    </row>
    <row r="184" spans="1:4" x14ac:dyDescent="0.25">
      <c r="A184" s="64" t="s">
        <v>663</v>
      </c>
      <c r="B184" s="65" t="s">
        <v>664</v>
      </c>
      <c r="C184" s="93" t="s">
        <v>444</v>
      </c>
      <c r="D184" s="92">
        <v>350</v>
      </c>
    </row>
    <row r="185" spans="1:4" x14ac:dyDescent="0.25">
      <c r="A185" s="64" t="s">
        <v>665</v>
      </c>
      <c r="B185" s="65" t="s">
        <v>666</v>
      </c>
      <c r="C185" s="66" t="s">
        <v>549</v>
      </c>
      <c r="D185" s="86">
        <v>1000</v>
      </c>
    </row>
    <row r="186" spans="1:4" x14ac:dyDescent="0.25">
      <c r="A186" s="64" t="s">
        <v>667</v>
      </c>
      <c r="B186" s="65" t="s">
        <v>668</v>
      </c>
      <c r="C186" s="66" t="s">
        <v>648</v>
      </c>
      <c r="D186" s="86">
        <v>75</v>
      </c>
    </row>
    <row r="187" spans="1:4" x14ac:dyDescent="0.25">
      <c r="A187" s="64" t="s">
        <v>669</v>
      </c>
      <c r="B187" s="65" t="s">
        <v>670</v>
      </c>
      <c r="C187" s="66" t="s">
        <v>444</v>
      </c>
      <c r="D187" s="92">
        <v>1500</v>
      </c>
    </row>
    <row r="188" spans="1:4" x14ac:dyDescent="0.25">
      <c r="A188" s="64" t="s">
        <v>671</v>
      </c>
      <c r="B188" s="65" t="s">
        <v>672</v>
      </c>
      <c r="C188" s="66" t="s">
        <v>673</v>
      </c>
      <c r="D188" s="86">
        <v>4000</v>
      </c>
    </row>
    <row r="189" spans="1:4" x14ac:dyDescent="0.25">
      <c r="A189" s="87"/>
      <c r="B189" s="69" t="s">
        <v>674</v>
      </c>
      <c r="C189" s="70"/>
      <c r="D189" s="88"/>
    </row>
    <row r="190" spans="1:4" x14ac:dyDescent="0.25">
      <c r="A190" s="64" t="s">
        <v>675</v>
      </c>
      <c r="B190" s="65" t="s">
        <v>676</v>
      </c>
      <c r="C190" s="66" t="s">
        <v>40</v>
      </c>
      <c r="D190" s="86">
        <v>185200</v>
      </c>
    </row>
    <row r="191" spans="1:4" x14ac:dyDescent="0.25">
      <c r="A191" s="64" t="s">
        <v>677</v>
      </c>
      <c r="B191" s="65" t="s">
        <v>678</v>
      </c>
      <c r="C191" s="66" t="s">
        <v>40</v>
      </c>
      <c r="D191" s="86">
        <v>297500</v>
      </c>
    </row>
    <row r="192" spans="1:4" ht="25.5" x14ac:dyDescent="0.25">
      <c r="A192" s="87"/>
      <c r="B192" s="69" t="s">
        <v>679</v>
      </c>
      <c r="C192" s="70"/>
      <c r="D192" s="88"/>
    </row>
    <row r="193" spans="1:4" x14ac:dyDescent="0.25">
      <c r="A193" s="64" t="s">
        <v>680</v>
      </c>
      <c r="B193" s="65" t="s">
        <v>681</v>
      </c>
      <c r="C193" s="66" t="s">
        <v>648</v>
      </c>
      <c r="D193" s="86">
        <v>16</v>
      </c>
    </row>
    <row r="194" spans="1:4" x14ac:dyDescent="0.25">
      <c r="A194" s="64" t="s">
        <v>682</v>
      </c>
      <c r="B194" s="65" t="s">
        <v>683</v>
      </c>
      <c r="C194" s="66" t="s">
        <v>648</v>
      </c>
      <c r="D194" s="86">
        <v>9</v>
      </c>
    </row>
    <row r="195" spans="1:4" x14ac:dyDescent="0.25">
      <c r="A195" s="64" t="s">
        <v>684</v>
      </c>
      <c r="B195" s="65" t="s">
        <v>685</v>
      </c>
      <c r="C195" s="66" t="s">
        <v>648</v>
      </c>
      <c r="D195" s="86">
        <v>100</v>
      </c>
    </row>
    <row r="196" spans="1:4" x14ac:dyDescent="0.25">
      <c r="A196" s="64" t="s">
        <v>686</v>
      </c>
      <c r="B196" s="65" t="s">
        <v>687</v>
      </c>
      <c r="C196" s="66" t="s">
        <v>648</v>
      </c>
      <c r="D196" s="86">
        <v>120</v>
      </c>
    </row>
    <row r="197" spans="1:4" x14ac:dyDescent="0.25">
      <c r="A197" s="64" t="s">
        <v>688</v>
      </c>
      <c r="B197" s="65" t="s">
        <v>689</v>
      </c>
      <c r="C197" s="66" t="s">
        <v>648</v>
      </c>
      <c r="D197" s="86">
        <v>80</v>
      </c>
    </row>
    <row r="198" spans="1:4" x14ac:dyDescent="0.25">
      <c r="A198" s="64" t="s">
        <v>690</v>
      </c>
      <c r="B198" s="65" t="s">
        <v>691</v>
      </c>
      <c r="C198" s="66" t="s">
        <v>648</v>
      </c>
      <c r="D198" s="86">
        <v>341</v>
      </c>
    </row>
    <row r="199" spans="1:4" x14ac:dyDescent="0.25">
      <c r="A199" s="64" t="s">
        <v>692</v>
      </c>
      <c r="B199" s="65" t="s">
        <v>693</v>
      </c>
      <c r="C199" s="66" t="s">
        <v>648</v>
      </c>
      <c r="D199" s="86">
        <v>950</v>
      </c>
    </row>
    <row r="200" spans="1:4" x14ac:dyDescent="0.25">
      <c r="A200" s="64" t="s">
        <v>694</v>
      </c>
      <c r="B200" s="65" t="s">
        <v>695</v>
      </c>
      <c r="C200" s="66" t="s">
        <v>648</v>
      </c>
      <c r="D200" s="86">
        <v>360</v>
      </c>
    </row>
    <row r="201" spans="1:4" x14ac:dyDescent="0.25">
      <c r="A201" s="64" t="s">
        <v>696</v>
      </c>
      <c r="B201" s="65" t="s">
        <v>697</v>
      </c>
      <c r="C201" s="66" t="s">
        <v>648</v>
      </c>
      <c r="D201" s="86">
        <v>490</v>
      </c>
    </row>
    <row r="202" spans="1:4" x14ac:dyDescent="0.25">
      <c r="A202" s="64" t="s">
        <v>698</v>
      </c>
      <c r="B202" s="65" t="s">
        <v>699</v>
      </c>
      <c r="C202" s="66" t="s">
        <v>648</v>
      </c>
      <c r="D202" s="86">
        <v>920</v>
      </c>
    </row>
    <row r="203" spans="1:4" x14ac:dyDescent="0.25">
      <c r="A203" s="87"/>
      <c r="B203" s="69" t="s">
        <v>700</v>
      </c>
      <c r="C203" s="70"/>
      <c r="D203" s="88"/>
    </row>
    <row r="204" spans="1:4" x14ac:dyDescent="0.25">
      <c r="A204" s="68" t="s">
        <v>94</v>
      </c>
      <c r="B204" s="69" t="s">
        <v>701</v>
      </c>
      <c r="C204" s="70"/>
      <c r="D204" s="88"/>
    </row>
    <row r="205" spans="1:4" ht="25.5" x14ac:dyDescent="0.25">
      <c r="A205" s="64" t="s">
        <v>702</v>
      </c>
      <c r="B205" s="65" t="s">
        <v>703</v>
      </c>
      <c r="C205" s="66" t="s">
        <v>20</v>
      </c>
      <c r="D205" s="86">
        <v>165</v>
      </c>
    </row>
    <row r="206" spans="1:4" ht="25.5" x14ac:dyDescent="0.25">
      <c r="A206" s="64" t="s">
        <v>704</v>
      </c>
      <c r="B206" s="65" t="s">
        <v>705</v>
      </c>
      <c r="C206" s="66" t="s">
        <v>20</v>
      </c>
      <c r="D206" s="92">
        <v>72</v>
      </c>
    </row>
    <row r="207" spans="1:4" ht="25.5" x14ac:dyDescent="0.25">
      <c r="A207" s="64" t="s">
        <v>706</v>
      </c>
      <c r="B207" s="65" t="s">
        <v>707</v>
      </c>
      <c r="C207" s="66" t="s">
        <v>20</v>
      </c>
      <c r="D207" s="92">
        <v>60</v>
      </c>
    </row>
    <row r="208" spans="1:4" ht="25.5" x14ac:dyDescent="0.25">
      <c r="A208" s="64" t="s">
        <v>708</v>
      </c>
      <c r="B208" s="65" t="s">
        <v>709</v>
      </c>
      <c r="C208" s="66" t="s">
        <v>20</v>
      </c>
      <c r="D208" s="86">
        <v>45</v>
      </c>
    </row>
    <row r="209" spans="1:4" x14ac:dyDescent="0.25">
      <c r="A209" s="68" t="s">
        <v>201</v>
      </c>
      <c r="B209" s="69" t="s">
        <v>710</v>
      </c>
      <c r="C209" s="70"/>
      <c r="D209" s="88"/>
    </row>
    <row r="210" spans="1:4" ht="25.5" x14ac:dyDescent="0.25">
      <c r="A210" s="64" t="s">
        <v>711</v>
      </c>
      <c r="B210" s="65" t="s">
        <v>712</v>
      </c>
      <c r="C210" s="66" t="s">
        <v>444</v>
      </c>
      <c r="D210" s="86">
        <v>590</v>
      </c>
    </row>
    <row r="211" spans="1:4" ht="25.5" x14ac:dyDescent="0.25">
      <c r="A211" s="75" t="s">
        <v>713</v>
      </c>
      <c r="B211" s="76" t="s">
        <v>714</v>
      </c>
      <c r="C211" s="77" t="s">
        <v>444</v>
      </c>
      <c r="D211" s="94">
        <v>810</v>
      </c>
    </row>
  </sheetData>
  <phoneticPr fontId="1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9CB87-681E-43C6-99C7-21E4F4290A74}">
  <dimension ref="A1:D34"/>
  <sheetViews>
    <sheetView zoomScale="85" zoomScaleNormal="85" workbookViewId="0"/>
  </sheetViews>
  <sheetFormatPr defaultRowHeight="15.75" customHeight="1" x14ac:dyDescent="0.25"/>
  <cols>
    <col min="1" max="1" width="14.375" style="12" customWidth="1"/>
    <col min="2" max="2" width="100.875" style="12" customWidth="1"/>
    <col min="3" max="3" width="13" style="12" customWidth="1"/>
    <col min="4" max="4" width="13.375" style="141" customWidth="1"/>
    <col min="5" max="16384" width="9" style="12"/>
  </cols>
  <sheetData>
    <row r="1" spans="1:4" ht="15.75" customHeight="1" x14ac:dyDescent="0.25">
      <c r="A1" s="137" t="s">
        <v>19</v>
      </c>
      <c r="B1" s="138" t="s">
        <v>33</v>
      </c>
      <c r="C1" s="139" t="s">
        <v>18</v>
      </c>
      <c r="D1" s="140" t="s">
        <v>181</v>
      </c>
    </row>
    <row r="2" spans="1:4" ht="15.75" customHeight="1" x14ac:dyDescent="0.25">
      <c r="A2" s="172" t="s">
        <v>740</v>
      </c>
      <c r="B2" s="173" t="s">
        <v>774</v>
      </c>
      <c r="C2" s="174" t="s">
        <v>377</v>
      </c>
      <c r="D2" s="175">
        <v>268.39999999999998</v>
      </c>
    </row>
    <row r="3" spans="1:4" ht="15.75" customHeight="1" x14ac:dyDescent="0.25">
      <c r="A3" s="172" t="s">
        <v>741</v>
      </c>
      <c r="B3" s="173" t="s">
        <v>742</v>
      </c>
      <c r="C3" s="174" t="s">
        <v>773</v>
      </c>
      <c r="D3" s="175">
        <v>38.06</v>
      </c>
    </row>
    <row r="4" spans="1:4" ht="15.75" customHeight="1" x14ac:dyDescent="0.25">
      <c r="A4" s="172" t="s">
        <v>743</v>
      </c>
      <c r="B4" s="173" t="s">
        <v>744</v>
      </c>
      <c r="C4" s="174" t="s">
        <v>47</v>
      </c>
      <c r="D4" s="175">
        <v>1729.2</v>
      </c>
    </row>
    <row r="5" spans="1:4" ht="15.75" customHeight="1" x14ac:dyDescent="0.25">
      <c r="A5" s="172" t="s">
        <v>745</v>
      </c>
      <c r="B5" s="173" t="s">
        <v>746</v>
      </c>
      <c r="C5" s="174" t="s">
        <v>47</v>
      </c>
      <c r="D5" s="175">
        <v>1152.8</v>
      </c>
    </row>
    <row r="6" spans="1:4" ht="15.75" customHeight="1" x14ac:dyDescent="0.25">
      <c r="A6" s="172" t="s">
        <v>747</v>
      </c>
      <c r="B6" s="173" t="s">
        <v>775</v>
      </c>
      <c r="C6" s="174" t="s">
        <v>47</v>
      </c>
      <c r="D6" s="175">
        <v>2050.4</v>
      </c>
    </row>
    <row r="7" spans="1:4" ht="15.75" customHeight="1" x14ac:dyDescent="0.25">
      <c r="A7" s="172" t="s">
        <v>748</v>
      </c>
      <c r="B7" s="173" t="s">
        <v>749</v>
      </c>
      <c r="C7" s="174" t="s">
        <v>47</v>
      </c>
      <c r="D7" s="175">
        <v>1666.5</v>
      </c>
    </row>
    <row r="8" spans="1:4" ht="15.75" customHeight="1" x14ac:dyDescent="0.25">
      <c r="A8" s="172" t="s">
        <v>750</v>
      </c>
      <c r="B8" s="173" t="s">
        <v>751</v>
      </c>
      <c r="C8" s="174" t="s">
        <v>47</v>
      </c>
      <c r="D8" s="175">
        <v>4485.8</v>
      </c>
    </row>
    <row r="9" spans="1:4" ht="15.75" customHeight="1" x14ac:dyDescent="0.25">
      <c r="A9" s="172" t="s">
        <v>752</v>
      </c>
      <c r="B9" s="173" t="s">
        <v>753</v>
      </c>
      <c r="C9" s="174" t="s">
        <v>47</v>
      </c>
      <c r="D9" s="175">
        <v>8970.5</v>
      </c>
    </row>
    <row r="10" spans="1:4" ht="15.75" customHeight="1" x14ac:dyDescent="0.25">
      <c r="A10" s="172" t="s">
        <v>754</v>
      </c>
      <c r="B10" s="173" t="s">
        <v>755</v>
      </c>
      <c r="C10" s="174" t="s">
        <v>47</v>
      </c>
      <c r="D10" s="175">
        <v>10252</v>
      </c>
    </row>
    <row r="11" spans="1:4" ht="15.75" customHeight="1" x14ac:dyDescent="0.25">
      <c r="A11" s="172" t="s">
        <v>756</v>
      </c>
      <c r="B11" s="173" t="s">
        <v>757</v>
      </c>
      <c r="C11" s="174" t="s">
        <v>47</v>
      </c>
      <c r="D11" s="175">
        <v>19228</v>
      </c>
    </row>
    <row r="12" spans="1:4" ht="15.75" customHeight="1" x14ac:dyDescent="0.25">
      <c r="A12" s="172" t="s">
        <v>758</v>
      </c>
      <c r="B12" s="173" t="s">
        <v>759</v>
      </c>
      <c r="C12" s="174" t="s">
        <v>760</v>
      </c>
      <c r="D12" s="175">
        <v>600</v>
      </c>
    </row>
    <row r="13" spans="1:4" ht="15.75" customHeight="1" x14ac:dyDescent="0.25">
      <c r="A13" s="172" t="s">
        <v>761</v>
      </c>
      <c r="B13" s="173" t="s">
        <v>776</v>
      </c>
      <c r="C13" s="174" t="s">
        <v>760</v>
      </c>
      <c r="D13" s="175">
        <v>784</v>
      </c>
    </row>
    <row r="14" spans="1:4" ht="15.75" customHeight="1" x14ac:dyDescent="0.25">
      <c r="A14" s="172" t="s">
        <v>762</v>
      </c>
      <c r="B14" s="173" t="s">
        <v>777</v>
      </c>
      <c r="C14" s="174" t="s">
        <v>47</v>
      </c>
      <c r="D14" s="175">
        <v>1000</v>
      </c>
    </row>
    <row r="15" spans="1:4" ht="15.75" customHeight="1" x14ac:dyDescent="0.25">
      <c r="A15" s="172" t="s">
        <v>763</v>
      </c>
      <c r="B15" s="173" t="s">
        <v>764</v>
      </c>
      <c r="C15" s="174" t="s">
        <v>47</v>
      </c>
      <c r="D15" s="175">
        <v>1500</v>
      </c>
    </row>
    <row r="16" spans="1:4" ht="15.75" customHeight="1" x14ac:dyDescent="0.25">
      <c r="A16" s="172" t="s">
        <v>765</v>
      </c>
      <c r="B16" s="173" t="s">
        <v>778</v>
      </c>
      <c r="C16" s="174" t="s">
        <v>760</v>
      </c>
      <c r="D16" s="175">
        <v>2000</v>
      </c>
    </row>
    <row r="17" spans="1:4" ht="15.75" customHeight="1" x14ac:dyDescent="0.25">
      <c r="A17" s="172" t="s">
        <v>766</v>
      </c>
      <c r="B17" s="173" t="s">
        <v>779</v>
      </c>
      <c r="C17" s="174" t="s">
        <v>760</v>
      </c>
      <c r="D17" s="175">
        <v>4000</v>
      </c>
    </row>
    <row r="18" spans="1:4" ht="15.75" customHeight="1" x14ac:dyDescent="0.25">
      <c r="A18" s="172" t="s">
        <v>767</v>
      </c>
      <c r="B18" s="173" t="s">
        <v>768</v>
      </c>
      <c r="C18" s="174" t="s">
        <v>760</v>
      </c>
      <c r="D18" s="175">
        <v>625</v>
      </c>
    </row>
    <row r="19" spans="1:4" ht="15.75" customHeight="1" x14ac:dyDescent="0.25">
      <c r="A19" s="172" t="s">
        <v>769</v>
      </c>
      <c r="B19" s="173" t="s">
        <v>770</v>
      </c>
      <c r="C19" s="174" t="s">
        <v>760</v>
      </c>
      <c r="D19" s="175">
        <v>938</v>
      </c>
    </row>
    <row r="20" spans="1:4" ht="15.75" customHeight="1" x14ac:dyDescent="0.25">
      <c r="A20" s="172" t="s">
        <v>771</v>
      </c>
      <c r="B20" s="173" t="s">
        <v>772</v>
      </c>
      <c r="C20" s="174" t="s">
        <v>760</v>
      </c>
      <c r="D20" s="175">
        <v>729</v>
      </c>
    </row>
    <row r="21" spans="1:4" ht="15.75" customHeight="1" x14ac:dyDescent="0.25">
      <c r="A21" s="172" t="s">
        <v>782</v>
      </c>
      <c r="B21" s="173" t="s">
        <v>803</v>
      </c>
      <c r="C21" s="174" t="s">
        <v>47</v>
      </c>
      <c r="D21" s="175">
        <v>500</v>
      </c>
    </row>
    <row r="22" spans="1:4" ht="15.75" customHeight="1" x14ac:dyDescent="0.25">
      <c r="A22" s="172" t="s">
        <v>786</v>
      </c>
      <c r="B22" s="173" t="s">
        <v>804</v>
      </c>
      <c r="C22" s="174" t="s">
        <v>47</v>
      </c>
      <c r="D22" s="175">
        <v>450</v>
      </c>
    </row>
    <row r="23" spans="1:4" ht="15.75" customHeight="1" x14ac:dyDescent="0.25">
      <c r="A23" s="172" t="s">
        <v>787</v>
      </c>
      <c r="B23" s="173" t="s">
        <v>789</v>
      </c>
      <c r="C23" s="174" t="s">
        <v>47</v>
      </c>
      <c r="D23" s="175">
        <v>750</v>
      </c>
    </row>
    <row r="24" spans="1:4" ht="15.75" customHeight="1" x14ac:dyDescent="0.25">
      <c r="A24" s="172" t="s">
        <v>788</v>
      </c>
      <c r="B24" s="173" t="s">
        <v>790</v>
      </c>
      <c r="C24" s="174" t="s">
        <v>47</v>
      </c>
      <c r="D24" s="175">
        <v>2500</v>
      </c>
    </row>
    <row r="25" spans="1:4" ht="15.75" customHeight="1" x14ac:dyDescent="0.25">
      <c r="A25" s="172" t="s">
        <v>791</v>
      </c>
      <c r="B25" s="173" t="s">
        <v>792</v>
      </c>
      <c r="C25" s="174" t="s">
        <v>47</v>
      </c>
      <c r="D25" s="175">
        <v>3000</v>
      </c>
    </row>
    <row r="26" spans="1:4" ht="15.75" customHeight="1" x14ac:dyDescent="0.25">
      <c r="A26" s="176" t="s">
        <v>802</v>
      </c>
      <c r="B26" s="177" t="s">
        <v>805</v>
      </c>
      <c r="C26" s="178" t="s">
        <v>47</v>
      </c>
      <c r="D26" s="179">
        <v>2000</v>
      </c>
    </row>
    <row r="34" spans="2:2" ht="15.75" customHeight="1" x14ac:dyDescent="0.25">
      <c r="B34" s="12" t="s">
        <v>781</v>
      </c>
    </row>
  </sheetData>
  <phoneticPr fontId="1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EA85-E357-2945-931F-8F257753B9C1}">
  <dimension ref="A1:F52"/>
  <sheetViews>
    <sheetView tabSelected="1" view="pageBreakPreview" zoomScaleNormal="100" zoomScaleSheetLayoutView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6" sqref="E26"/>
    </sheetView>
  </sheetViews>
  <sheetFormatPr defaultColWidth="11.875" defaultRowHeight="15.75" x14ac:dyDescent="0.25"/>
  <cols>
    <col min="1" max="1" width="16" style="1" customWidth="1"/>
    <col min="2" max="2" width="25.875" style="27" customWidth="1"/>
    <col min="3" max="3" width="50.875" style="5" customWidth="1"/>
    <col min="4" max="4" width="60.625" style="5" customWidth="1"/>
    <col min="5" max="5" width="15.875" style="16" customWidth="1"/>
    <col min="6" max="6" width="11.875" style="1"/>
    <col min="7" max="16384" width="11.875" style="2"/>
  </cols>
  <sheetData>
    <row r="1" spans="1:6" s="1" customFormat="1" ht="16.5" thickBot="1" x14ac:dyDescent="0.3">
      <c r="A1" s="32" t="s">
        <v>14</v>
      </c>
      <c r="B1" s="30" t="s">
        <v>15</v>
      </c>
      <c r="C1" s="30" t="s">
        <v>16</v>
      </c>
      <c r="D1" s="30" t="s">
        <v>33</v>
      </c>
      <c r="E1" s="42" t="s">
        <v>34</v>
      </c>
      <c r="F1" s="43" t="s">
        <v>18</v>
      </c>
    </row>
    <row r="2" spans="1:6" s="49" customFormat="1" x14ac:dyDescent="0.25">
      <c r="A2" s="50" t="s">
        <v>52</v>
      </c>
      <c r="B2" s="51" t="s">
        <v>0</v>
      </c>
      <c r="C2" s="52"/>
      <c r="D2" s="52" t="str">
        <f>A!B2</f>
        <v>Earthwork</v>
      </c>
      <c r="E2" s="53">
        <f>A!H36</f>
        <v>548</v>
      </c>
      <c r="F2" s="54" t="str">
        <f>A!E3</f>
        <v>Cu.M</v>
      </c>
    </row>
    <row r="3" spans="1:6" x14ac:dyDescent="0.25">
      <c r="A3" s="38"/>
      <c r="B3" s="39"/>
      <c r="C3" s="39"/>
      <c r="D3" s="39"/>
      <c r="E3" s="39"/>
      <c r="F3" s="37"/>
    </row>
    <row r="4" spans="1:6" s="49" customFormat="1" x14ac:dyDescent="0.25">
      <c r="A4" s="44" t="s">
        <v>53</v>
      </c>
      <c r="B4" s="45" t="s">
        <v>1</v>
      </c>
      <c r="C4" s="46"/>
      <c r="D4" s="46"/>
      <c r="E4" s="47"/>
      <c r="F4" s="48"/>
    </row>
    <row r="5" spans="1:6" x14ac:dyDescent="0.25">
      <c r="A5" s="31" t="s">
        <v>54</v>
      </c>
      <c r="B5" s="26"/>
      <c r="C5" s="4" t="s">
        <v>99</v>
      </c>
      <c r="D5" s="4" t="str">
        <f>'B1'!B2</f>
        <v>PCC M5 (1:5:10)</v>
      </c>
      <c r="E5" s="36">
        <f>'B1'!H43</f>
        <v>5560</v>
      </c>
      <c r="F5" s="37" t="str">
        <f>'B1'!E3</f>
        <v>Cu.M</v>
      </c>
    </row>
    <row r="6" spans="1:6" x14ac:dyDescent="0.25">
      <c r="A6" s="31" t="s">
        <v>55</v>
      </c>
      <c r="B6" s="26"/>
      <c r="C6" s="4" t="s">
        <v>100</v>
      </c>
      <c r="D6" s="4" t="str">
        <f>'B2'!B2</f>
        <v>PCC M7.5 (1:4:8)</v>
      </c>
      <c r="E6" s="36">
        <f>'B2'!H43</f>
        <v>5672</v>
      </c>
      <c r="F6" s="37" t="str">
        <f>'B2'!E3</f>
        <v>Cu.M</v>
      </c>
    </row>
    <row r="7" spans="1:6" x14ac:dyDescent="0.25">
      <c r="A7" s="31" t="s">
        <v>56</v>
      </c>
      <c r="B7" s="26"/>
      <c r="C7" s="4" t="s">
        <v>101</v>
      </c>
      <c r="D7" s="4" t="str">
        <f>'B3'!B2</f>
        <v>PCC M10 (1:3:6)</v>
      </c>
      <c r="E7" s="36">
        <f>'B3'!H43</f>
        <v>5971</v>
      </c>
      <c r="F7" s="37" t="str">
        <f>'B3'!E3</f>
        <v>Cu.M</v>
      </c>
    </row>
    <row r="8" spans="1:6" x14ac:dyDescent="0.25">
      <c r="A8" s="31" t="s">
        <v>57</v>
      </c>
      <c r="B8" s="26"/>
      <c r="C8" s="4" t="s">
        <v>102</v>
      </c>
      <c r="D8" s="4" t="str">
        <f>'B4'!B2</f>
        <v>PCC M15 (1:2:4)</v>
      </c>
      <c r="E8" s="36">
        <f>'B4'!H43</f>
        <v>7201</v>
      </c>
      <c r="F8" s="37" t="str">
        <f>'B4'!E3</f>
        <v>Cu.M</v>
      </c>
    </row>
    <row r="9" spans="1:6" x14ac:dyDescent="0.25">
      <c r="A9" s="31" t="s">
        <v>58</v>
      </c>
      <c r="B9" s="26"/>
      <c r="C9" s="4" t="s">
        <v>103</v>
      </c>
      <c r="D9" s="4" t="str">
        <f>'B5'!B2</f>
        <v>PCC M20 (1:1.5:3)</v>
      </c>
      <c r="E9" s="36">
        <f>'B5'!H43</f>
        <v>7671</v>
      </c>
      <c r="F9" s="37" t="str">
        <f>'B5'!E3</f>
        <v>Cu.M</v>
      </c>
    </row>
    <row r="10" spans="1:6" x14ac:dyDescent="0.25">
      <c r="A10" s="38"/>
      <c r="B10" s="39"/>
      <c r="C10" s="39"/>
      <c r="D10" s="39"/>
      <c r="E10" s="39"/>
      <c r="F10" s="37"/>
    </row>
    <row r="11" spans="1:6" s="49" customFormat="1" x14ac:dyDescent="0.25">
      <c r="A11" s="44" t="s">
        <v>59</v>
      </c>
      <c r="B11" s="45" t="s">
        <v>2</v>
      </c>
      <c r="C11" s="46"/>
      <c r="D11" s="46"/>
      <c r="E11" s="47"/>
      <c r="F11" s="48"/>
    </row>
    <row r="12" spans="1:6" x14ac:dyDescent="0.25">
      <c r="A12" s="31" t="s">
        <v>60</v>
      </c>
      <c r="B12" s="26"/>
      <c r="C12" s="4" t="s">
        <v>794</v>
      </c>
      <c r="D12" s="4" t="str">
        <f>'C1'!B2</f>
        <v>RCC M20 (1:1.5:3)</v>
      </c>
      <c r="E12" s="36">
        <f>'C1'!H52</f>
        <v>22640</v>
      </c>
      <c r="F12" s="37" t="str">
        <f>'C1'!E3</f>
        <v>Cu.M</v>
      </c>
    </row>
    <row r="13" spans="1:6" x14ac:dyDescent="0.25">
      <c r="A13" s="31" t="s">
        <v>61</v>
      </c>
      <c r="B13" s="161"/>
      <c r="C13" s="4" t="s">
        <v>104</v>
      </c>
      <c r="D13" s="4" t="str">
        <f>'C2'!B2</f>
        <v>RCC M25 (1:1:2)</v>
      </c>
      <c r="E13" s="36">
        <f>'C2'!H52</f>
        <v>22901</v>
      </c>
      <c r="F13" s="37" t="str">
        <f>'C2'!E3</f>
        <v>Cu.M</v>
      </c>
    </row>
    <row r="14" spans="1:6" x14ac:dyDescent="0.25">
      <c r="A14" s="31" t="s">
        <v>62</v>
      </c>
      <c r="B14" s="26"/>
      <c r="C14" s="4" t="s">
        <v>105</v>
      </c>
      <c r="D14" s="4" t="str">
        <f>'C3'!B2</f>
        <v>RCC M30 (1:0.75:1.5)</v>
      </c>
      <c r="E14" s="36">
        <f>'C3'!H52</f>
        <v>23041</v>
      </c>
      <c r="F14" s="37" t="str">
        <f>'C3'!E3</f>
        <v>Cu.M</v>
      </c>
    </row>
    <row r="15" spans="1:6" x14ac:dyDescent="0.25">
      <c r="A15" s="38"/>
      <c r="B15" s="39"/>
      <c r="C15" s="39"/>
      <c r="D15" s="39"/>
      <c r="E15" s="39"/>
      <c r="F15" s="37"/>
    </row>
    <row r="16" spans="1:6" s="49" customFormat="1" x14ac:dyDescent="0.25">
      <c r="A16" s="44" t="s">
        <v>63</v>
      </c>
      <c r="B16" s="45" t="s">
        <v>3</v>
      </c>
      <c r="C16" s="46"/>
      <c r="D16" s="46"/>
      <c r="E16" s="47"/>
      <c r="F16" s="48"/>
    </row>
    <row r="17" spans="1:6" x14ac:dyDescent="0.25">
      <c r="A17" s="31" t="s">
        <v>64</v>
      </c>
      <c r="B17" s="26"/>
      <c r="C17" s="4" t="s">
        <v>67</v>
      </c>
      <c r="D17" s="4" t="str">
        <f>'D1'!B2</f>
        <v>Masonry Burnt Brick (230mm X 115mm X 75mm) with 1:6 CM mortar</v>
      </c>
      <c r="E17" s="36">
        <f>'D1'!H42</f>
        <v>9220</v>
      </c>
      <c r="F17" s="37" t="str">
        <f>'D1'!E3</f>
        <v>Cu.M</v>
      </c>
    </row>
    <row r="18" spans="1:6" x14ac:dyDescent="0.25">
      <c r="A18" s="31" t="s">
        <v>65</v>
      </c>
      <c r="B18" s="26"/>
      <c r="C18" s="4" t="s">
        <v>68</v>
      </c>
      <c r="D18" s="4"/>
      <c r="E18" s="36"/>
      <c r="F18" s="37"/>
    </row>
    <row r="19" spans="1:6" x14ac:dyDescent="0.25">
      <c r="A19" s="31" t="s">
        <v>66</v>
      </c>
      <c r="B19" s="26"/>
      <c r="C19" s="4" t="s">
        <v>69</v>
      </c>
      <c r="D19" s="4"/>
      <c r="E19" s="36"/>
      <c r="F19" s="37"/>
    </row>
    <row r="20" spans="1:6" x14ac:dyDescent="0.25">
      <c r="A20" s="31" t="s">
        <v>151</v>
      </c>
      <c r="B20" s="26"/>
      <c r="C20" s="4" t="s">
        <v>70</v>
      </c>
      <c r="D20" s="4"/>
      <c r="E20" s="36"/>
      <c r="F20" s="37"/>
    </row>
    <row r="21" spans="1:6" x14ac:dyDescent="0.25">
      <c r="A21" s="31" t="s">
        <v>152</v>
      </c>
      <c r="B21" s="26"/>
      <c r="C21" s="4" t="s">
        <v>71</v>
      </c>
      <c r="D21" s="4"/>
      <c r="E21" s="36"/>
      <c r="F21" s="37"/>
    </row>
    <row r="22" spans="1:6" x14ac:dyDescent="0.25">
      <c r="A22" s="31" t="s">
        <v>153</v>
      </c>
      <c r="B22" s="26"/>
      <c r="C22" s="4" t="s">
        <v>72</v>
      </c>
      <c r="D22" s="4"/>
      <c r="E22" s="36"/>
      <c r="F22" s="37"/>
    </row>
    <row r="23" spans="1:6" x14ac:dyDescent="0.25">
      <c r="A23" s="31" t="s">
        <v>154</v>
      </c>
      <c r="B23" s="26"/>
      <c r="C23" s="4" t="s">
        <v>73</v>
      </c>
      <c r="D23" s="4"/>
      <c r="E23" s="36"/>
      <c r="F23" s="37"/>
    </row>
    <row r="24" spans="1:6" x14ac:dyDescent="0.25">
      <c r="A24" s="31" t="s">
        <v>155</v>
      </c>
      <c r="B24" s="26"/>
      <c r="C24" s="4" t="s">
        <v>74</v>
      </c>
      <c r="D24" s="4"/>
      <c r="E24" s="36"/>
      <c r="F24" s="37"/>
    </row>
    <row r="25" spans="1:6" x14ac:dyDescent="0.25">
      <c r="A25" s="31" t="s">
        <v>156</v>
      </c>
      <c r="B25" s="26"/>
      <c r="C25" s="4" t="s">
        <v>75</v>
      </c>
      <c r="D25" s="4"/>
      <c r="E25" s="36"/>
      <c r="F25" s="37"/>
    </row>
    <row r="26" spans="1:6" x14ac:dyDescent="0.25">
      <c r="A26" s="31" t="s">
        <v>157</v>
      </c>
      <c r="B26" s="26"/>
      <c r="C26" s="4" t="s">
        <v>76</v>
      </c>
      <c r="D26" s="4"/>
      <c r="E26" s="36"/>
      <c r="F26" s="37"/>
    </row>
    <row r="27" spans="1:6" x14ac:dyDescent="0.25">
      <c r="A27" s="38"/>
      <c r="B27" s="39"/>
      <c r="C27" s="39"/>
      <c r="D27" s="39"/>
      <c r="E27" s="39"/>
      <c r="F27" s="37"/>
    </row>
    <row r="28" spans="1:6" s="49" customFormat="1" x14ac:dyDescent="0.25">
      <c r="A28" s="44" t="s">
        <v>77</v>
      </c>
      <c r="B28" s="45" t="s">
        <v>4</v>
      </c>
      <c r="C28" s="46"/>
      <c r="D28" s="46"/>
      <c r="E28" s="47"/>
      <c r="F28" s="48"/>
    </row>
    <row r="29" spans="1:6" x14ac:dyDescent="0.25">
      <c r="A29" s="31" t="s">
        <v>78</v>
      </c>
      <c r="B29" s="26"/>
      <c r="C29" s="4" t="s">
        <v>159</v>
      </c>
      <c r="D29" s="4" t="str">
        <f>'E1'!B2</f>
        <v>Cement Mortor of 1:2 Plestering Mix for 20mm thick plastering</v>
      </c>
      <c r="E29" s="36">
        <f>'E1'!H40</f>
        <v>466</v>
      </c>
      <c r="F29" s="37" t="str">
        <f>'E1'!E3</f>
        <v>Cu.M</v>
      </c>
    </row>
    <row r="30" spans="1:6" x14ac:dyDescent="0.25">
      <c r="A30" s="31" t="s">
        <v>79</v>
      </c>
      <c r="B30" s="26"/>
      <c r="C30" s="4" t="s">
        <v>160</v>
      </c>
      <c r="D30" s="4" t="str">
        <f>'E2'!B2</f>
        <v>Cement Mortor of 1:3 Plestering Mix for 20mm thick plastering</v>
      </c>
      <c r="E30" s="36">
        <f>'E2'!H40</f>
        <v>436</v>
      </c>
      <c r="F30" s="37" t="str">
        <f>'E2'!E3</f>
        <v>Cu.M</v>
      </c>
    </row>
    <row r="31" spans="1:6" x14ac:dyDescent="0.25">
      <c r="A31" s="31" t="s">
        <v>80</v>
      </c>
      <c r="B31" s="26"/>
      <c r="C31" s="4" t="s">
        <v>161</v>
      </c>
      <c r="D31" s="4" t="str">
        <f>'E3'!B2</f>
        <v>Cement Mortor of 1:4 Plestering Mix for 20mm thick plastering</v>
      </c>
      <c r="E31" s="36">
        <f>'E3'!H40</f>
        <v>429</v>
      </c>
      <c r="F31" s="37" t="str">
        <f>'E3'!E3</f>
        <v>Cu.M</v>
      </c>
    </row>
    <row r="32" spans="1:6" x14ac:dyDescent="0.25">
      <c r="A32" s="31" t="s">
        <v>81</v>
      </c>
      <c r="B32" s="26"/>
      <c r="C32" s="4" t="s">
        <v>162</v>
      </c>
      <c r="D32" s="4" t="str">
        <f>'E4'!B2</f>
        <v>Cement Mortor of 1:5 Plestering Mix for 12mm thick plastering</v>
      </c>
      <c r="E32" s="36">
        <f>'E4'!H40</f>
        <v>378</v>
      </c>
      <c r="F32" s="37" t="str">
        <f>'E4'!E3</f>
        <v>Cu.M</v>
      </c>
    </row>
    <row r="33" spans="1:6" x14ac:dyDescent="0.25">
      <c r="A33" s="31" t="s">
        <v>82</v>
      </c>
      <c r="B33" s="26"/>
      <c r="C33" s="4" t="s">
        <v>163</v>
      </c>
      <c r="D33" s="4" t="str">
        <f>'E5'!B2</f>
        <v>Cement Mortor of 1:6 Plestering Mix for 12mm thick plastering</v>
      </c>
      <c r="E33" s="36">
        <f>'E5'!H40</f>
        <v>374</v>
      </c>
      <c r="F33" s="37" t="str">
        <f>'E5'!E3</f>
        <v>Cu.M</v>
      </c>
    </row>
    <row r="34" spans="1:6" x14ac:dyDescent="0.25">
      <c r="A34" s="38"/>
      <c r="B34" s="39"/>
      <c r="C34" s="39"/>
      <c r="D34" s="39"/>
      <c r="E34" s="39"/>
      <c r="F34" s="37"/>
    </row>
    <row r="35" spans="1:6" s="49" customFormat="1" x14ac:dyDescent="0.25">
      <c r="A35" s="44" t="s">
        <v>83</v>
      </c>
      <c r="B35" s="45" t="s">
        <v>5</v>
      </c>
      <c r="C35" s="46"/>
      <c r="D35" s="46"/>
      <c r="E35" s="47"/>
      <c r="F35" s="48"/>
    </row>
    <row r="36" spans="1:6" x14ac:dyDescent="0.25">
      <c r="A36" s="31" t="s">
        <v>84</v>
      </c>
      <c r="B36" s="26"/>
      <c r="C36" s="4" t="s">
        <v>6</v>
      </c>
      <c r="D36" s="4"/>
      <c r="E36" s="36"/>
      <c r="F36" s="37"/>
    </row>
    <row r="37" spans="1:6" x14ac:dyDescent="0.25">
      <c r="A37" s="31" t="s">
        <v>85</v>
      </c>
      <c r="B37" s="26"/>
      <c r="C37" s="4" t="s">
        <v>7</v>
      </c>
      <c r="D37" s="4"/>
      <c r="E37" s="36"/>
      <c r="F37" s="37"/>
    </row>
    <row r="38" spans="1:6" x14ac:dyDescent="0.25">
      <c r="A38" s="31" t="s">
        <v>86</v>
      </c>
      <c r="B38" s="26"/>
      <c r="C38" s="4" t="s">
        <v>8</v>
      </c>
      <c r="D38" s="4"/>
      <c r="E38" s="36"/>
      <c r="F38" s="37"/>
    </row>
    <row r="39" spans="1:6" x14ac:dyDescent="0.25">
      <c r="A39" s="38"/>
      <c r="B39" s="39"/>
      <c r="C39" s="39"/>
      <c r="D39" s="39"/>
      <c r="E39" s="39"/>
      <c r="F39" s="37"/>
    </row>
    <row r="40" spans="1:6" s="49" customFormat="1" x14ac:dyDescent="0.25">
      <c r="A40" s="44" t="s">
        <v>87</v>
      </c>
      <c r="B40" s="45" t="s">
        <v>13</v>
      </c>
      <c r="C40" s="46"/>
      <c r="D40" s="46"/>
      <c r="E40" s="47"/>
      <c r="F40" s="48"/>
    </row>
    <row r="41" spans="1:6" x14ac:dyDescent="0.25">
      <c r="A41" s="31" t="s">
        <v>88</v>
      </c>
      <c r="B41" s="25"/>
      <c r="C41" s="3" t="s">
        <v>164</v>
      </c>
      <c r="D41" s="3"/>
      <c r="E41" s="36"/>
      <c r="F41" s="37"/>
    </row>
    <row r="42" spans="1:6" x14ac:dyDescent="0.25">
      <c r="A42" s="31" t="s">
        <v>89</v>
      </c>
      <c r="B42" s="25"/>
      <c r="C42" s="3" t="s">
        <v>165</v>
      </c>
      <c r="D42" s="3"/>
      <c r="E42" s="36"/>
      <c r="F42" s="37"/>
    </row>
    <row r="43" spans="1:6" x14ac:dyDescent="0.25">
      <c r="A43" s="31" t="s">
        <v>90</v>
      </c>
      <c r="B43" s="25"/>
      <c r="C43" s="3" t="s">
        <v>166</v>
      </c>
      <c r="D43" s="3"/>
      <c r="E43" s="36"/>
      <c r="F43" s="37"/>
    </row>
    <row r="44" spans="1:6" x14ac:dyDescent="0.25">
      <c r="A44" s="38"/>
      <c r="B44" s="39"/>
      <c r="C44" s="39"/>
      <c r="D44" s="39"/>
      <c r="E44" s="39"/>
      <c r="F44" s="37"/>
    </row>
    <row r="45" spans="1:6" s="49" customFormat="1" x14ac:dyDescent="0.25">
      <c r="A45" s="44" t="s">
        <v>91</v>
      </c>
      <c r="B45" s="45" t="s">
        <v>51</v>
      </c>
      <c r="C45" s="46"/>
      <c r="D45" s="46"/>
      <c r="E45" s="47"/>
      <c r="F45" s="48"/>
    </row>
    <row r="46" spans="1:6" x14ac:dyDescent="0.25">
      <c r="A46" s="31" t="s">
        <v>92</v>
      </c>
      <c r="B46" s="25"/>
      <c r="C46" s="3" t="s">
        <v>95</v>
      </c>
      <c r="D46" s="3"/>
      <c r="E46" s="36"/>
      <c r="F46" s="37"/>
    </row>
    <row r="47" spans="1:6" x14ac:dyDescent="0.25">
      <c r="A47" s="31" t="s">
        <v>93</v>
      </c>
      <c r="B47" s="25"/>
      <c r="C47" s="3" t="s">
        <v>96</v>
      </c>
      <c r="D47" s="3"/>
      <c r="E47" s="36"/>
      <c r="F47" s="37"/>
    </row>
    <row r="48" spans="1:6" x14ac:dyDescent="0.25">
      <c r="A48" s="38"/>
      <c r="B48" s="39"/>
      <c r="C48" s="39"/>
      <c r="D48" s="39"/>
      <c r="E48" s="39"/>
      <c r="F48" s="37"/>
    </row>
    <row r="49" spans="1:6" s="49" customFormat="1" x14ac:dyDescent="0.25">
      <c r="A49" s="44" t="s">
        <v>94</v>
      </c>
      <c r="B49" s="45" t="s">
        <v>9</v>
      </c>
      <c r="C49" s="46"/>
      <c r="D49" s="46"/>
      <c r="E49" s="47"/>
      <c r="F49" s="48"/>
    </row>
    <row r="50" spans="1:6" x14ac:dyDescent="0.25">
      <c r="A50" s="31" t="s">
        <v>97</v>
      </c>
      <c r="B50" s="26"/>
      <c r="C50" s="4" t="s">
        <v>10</v>
      </c>
      <c r="D50" s="4"/>
      <c r="E50" s="36"/>
      <c r="F50" s="37"/>
    </row>
    <row r="51" spans="1:6" x14ac:dyDescent="0.25">
      <c r="A51" s="31" t="s">
        <v>98</v>
      </c>
      <c r="B51" s="26"/>
      <c r="C51" s="4" t="s">
        <v>11</v>
      </c>
      <c r="D51" s="4"/>
      <c r="E51" s="36"/>
      <c r="F51" s="37"/>
    </row>
    <row r="52" spans="1:6" x14ac:dyDescent="0.25">
      <c r="A52" s="33" t="s">
        <v>158</v>
      </c>
      <c r="B52" s="34"/>
      <c r="C52" s="35" t="s">
        <v>12</v>
      </c>
      <c r="D52" s="35"/>
      <c r="E52" s="40"/>
      <c r="F52" s="41"/>
    </row>
  </sheetData>
  <phoneticPr fontId="1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29E7-E6D3-436F-8A98-0838CA7AD7D0}">
  <dimension ref="A1:G2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9" sqref="A19"/>
    </sheetView>
  </sheetViews>
  <sheetFormatPr defaultColWidth="9.125" defaultRowHeight="15" x14ac:dyDescent="0.25"/>
  <cols>
    <col min="1" max="7" width="30.625" style="103" customWidth="1"/>
    <col min="8" max="16384" width="9.125" style="103"/>
  </cols>
  <sheetData>
    <row r="1" spans="1:7" ht="48.75" thickBot="1" x14ac:dyDescent="0.3">
      <c r="A1" s="117"/>
      <c r="B1" s="115" t="s">
        <v>731</v>
      </c>
      <c r="C1" s="113" t="s">
        <v>730</v>
      </c>
      <c r="D1" s="113" t="s">
        <v>729</v>
      </c>
      <c r="E1" s="113" t="s">
        <v>738</v>
      </c>
      <c r="F1" s="113" t="s">
        <v>727</v>
      </c>
      <c r="G1" s="114" t="s">
        <v>728</v>
      </c>
    </row>
    <row r="2" spans="1:7" ht="15.75" customHeight="1" x14ac:dyDescent="0.25">
      <c r="A2" s="118" t="s">
        <v>169</v>
      </c>
      <c r="B2" s="145"/>
      <c r="C2" s="146"/>
      <c r="D2" s="146"/>
      <c r="E2" s="146"/>
      <c r="F2" s="146"/>
      <c r="G2" s="147"/>
    </row>
    <row r="3" spans="1:7" x14ac:dyDescent="0.25">
      <c r="A3" s="119" t="s">
        <v>734</v>
      </c>
      <c r="B3" s="116">
        <v>1</v>
      </c>
      <c r="C3" s="55">
        <v>1.1000000000000001</v>
      </c>
      <c r="D3" s="55">
        <v>1.6</v>
      </c>
      <c r="E3" s="55">
        <v>1.35</v>
      </c>
      <c r="F3" s="55">
        <v>1.8</v>
      </c>
      <c r="G3" s="127">
        <v>2.25</v>
      </c>
    </row>
    <row r="4" spans="1:7" ht="15.75" customHeight="1" x14ac:dyDescent="0.25">
      <c r="A4" s="120"/>
      <c r="B4" s="143"/>
      <c r="C4" s="102"/>
      <c r="D4" s="102"/>
      <c r="E4" s="102"/>
      <c r="F4" s="102"/>
      <c r="G4" s="128"/>
    </row>
    <row r="5" spans="1:7" x14ac:dyDescent="0.25">
      <c r="A5" s="119" t="s">
        <v>170</v>
      </c>
      <c r="B5" s="106">
        <v>0</v>
      </c>
      <c r="C5" s="104">
        <v>0</v>
      </c>
      <c r="D5" s="104">
        <v>0</v>
      </c>
      <c r="E5" s="104">
        <v>0</v>
      </c>
      <c r="F5" s="104">
        <v>0</v>
      </c>
      <c r="G5" s="129">
        <v>0</v>
      </c>
    </row>
    <row r="6" spans="1:7" x14ac:dyDescent="0.25">
      <c r="A6" s="121"/>
      <c r="B6" s="144"/>
      <c r="C6" s="105"/>
      <c r="D6" s="105"/>
      <c r="E6" s="105"/>
      <c r="F6" s="105"/>
      <c r="G6" s="130"/>
    </row>
    <row r="7" spans="1:7" x14ac:dyDescent="0.25">
      <c r="A7" s="122" t="s">
        <v>176</v>
      </c>
      <c r="B7" s="106"/>
      <c r="C7" s="104"/>
      <c r="D7" s="104"/>
      <c r="E7" s="104"/>
      <c r="F7" s="104"/>
      <c r="G7" s="129"/>
    </row>
    <row r="8" spans="1:7" x14ac:dyDescent="0.25">
      <c r="A8" s="119" t="s">
        <v>172</v>
      </c>
      <c r="B8" s="106">
        <v>7.3559999999999999</v>
      </c>
      <c r="C8" s="104">
        <v>8.08</v>
      </c>
      <c r="D8" s="104">
        <v>11.79</v>
      </c>
      <c r="E8" s="104">
        <v>9.94</v>
      </c>
      <c r="F8" s="104">
        <v>13.26</v>
      </c>
      <c r="G8" s="129">
        <v>16.57</v>
      </c>
    </row>
    <row r="9" spans="1:7" x14ac:dyDescent="0.25">
      <c r="A9" s="119" t="s">
        <v>173</v>
      </c>
      <c r="B9" s="106">
        <v>6.3</v>
      </c>
      <c r="C9" s="104">
        <v>6.92</v>
      </c>
      <c r="D9" s="104">
        <v>10.08</v>
      </c>
      <c r="E9" s="104">
        <v>8.51</v>
      </c>
      <c r="F9" s="104">
        <v>11.35</v>
      </c>
      <c r="G9" s="129">
        <v>14.19</v>
      </c>
    </row>
    <row r="10" spans="1:7" x14ac:dyDescent="0.25">
      <c r="A10" s="119" t="s">
        <v>174</v>
      </c>
      <c r="B10" s="106">
        <v>5.42</v>
      </c>
      <c r="C10" s="104">
        <v>5.97</v>
      </c>
      <c r="D10" s="104">
        <v>8.67</v>
      </c>
      <c r="E10" s="104">
        <v>7.3</v>
      </c>
      <c r="F10" s="104">
        <v>9.76</v>
      </c>
      <c r="G10" s="129">
        <v>12.19</v>
      </c>
    </row>
    <row r="11" spans="1:7" x14ac:dyDescent="0.25">
      <c r="A11" s="119" t="s">
        <v>175</v>
      </c>
      <c r="B11" s="106">
        <v>4.66</v>
      </c>
      <c r="C11" s="104">
        <v>5.15</v>
      </c>
      <c r="D11" s="104">
        <v>8.1300000000000008</v>
      </c>
      <c r="E11" s="104">
        <v>6.3</v>
      </c>
      <c r="F11" s="104">
        <v>8.41</v>
      </c>
      <c r="G11" s="129">
        <v>10.52</v>
      </c>
    </row>
    <row r="12" spans="1:7" x14ac:dyDescent="0.25">
      <c r="A12" s="119" t="s">
        <v>171</v>
      </c>
      <c r="B12" s="106">
        <v>4.26</v>
      </c>
      <c r="C12" s="104">
        <v>4.6900000000000004</v>
      </c>
      <c r="D12" s="104">
        <v>6.82</v>
      </c>
      <c r="E12" s="104">
        <v>5.76</v>
      </c>
      <c r="F12" s="104">
        <v>7.68</v>
      </c>
      <c r="G12" s="129">
        <v>9.6</v>
      </c>
    </row>
    <row r="13" spans="1:7" x14ac:dyDescent="0.25">
      <c r="A13" s="121"/>
      <c r="B13" s="144"/>
      <c r="C13" s="105"/>
      <c r="D13" s="105"/>
      <c r="E13" s="105"/>
      <c r="F13" s="105"/>
      <c r="G13" s="130"/>
    </row>
    <row r="14" spans="1:7" x14ac:dyDescent="0.25">
      <c r="A14" s="122" t="s">
        <v>178</v>
      </c>
      <c r="B14" s="108"/>
      <c r="C14" s="109"/>
      <c r="D14" s="109"/>
      <c r="E14" s="109"/>
      <c r="F14" s="109"/>
      <c r="G14" s="131"/>
    </row>
    <row r="15" spans="1:7" x14ac:dyDescent="0.25">
      <c r="A15" s="122" t="s">
        <v>732</v>
      </c>
      <c r="B15" s="106">
        <v>135.5</v>
      </c>
      <c r="C15" s="104">
        <v>64.650000000000006</v>
      </c>
      <c r="D15" s="104">
        <v>44.25</v>
      </c>
      <c r="E15" s="104">
        <v>63.6</v>
      </c>
      <c r="F15" s="104">
        <v>63.6</v>
      </c>
      <c r="G15" s="129">
        <v>63.6</v>
      </c>
    </row>
    <row r="16" spans="1:7" ht="15.75" thickBot="1" x14ac:dyDescent="0.3">
      <c r="A16" s="123" t="s">
        <v>733</v>
      </c>
      <c r="B16" s="132">
        <v>135.5</v>
      </c>
      <c r="C16" s="133">
        <v>64.650000000000006</v>
      </c>
      <c r="D16" s="133">
        <v>44.25</v>
      </c>
      <c r="E16" s="133">
        <v>63.6</v>
      </c>
      <c r="F16" s="133">
        <v>63.6</v>
      </c>
      <c r="G16" s="134">
        <v>63.6</v>
      </c>
    </row>
    <row r="19" spans="1:6" ht="24.75" thickBot="1" x14ac:dyDescent="0.3">
      <c r="A19" s="165" t="s">
        <v>797</v>
      </c>
      <c r="B19" s="142" t="s">
        <v>177</v>
      </c>
      <c r="C19" s="166" t="s">
        <v>736</v>
      </c>
      <c r="D19" s="166" t="s">
        <v>737</v>
      </c>
      <c r="E19" s="167" t="s">
        <v>179</v>
      </c>
      <c r="F19" s="111"/>
    </row>
    <row r="20" spans="1:6" x14ac:dyDescent="0.25">
      <c r="A20" s="162" t="s">
        <v>21</v>
      </c>
      <c r="B20" s="125">
        <v>15</v>
      </c>
      <c r="C20" s="124">
        <f>(
MIN(B$20,10)*B$8 +
MAX(MIN(B$20-10,10),0)*B$9 +
MAX(MIN(B$20-20,20),0)*B$10 +
MAX(MIN(B$20-40,40),0)*B$11 +
MAX(B$20-80,0)*B$12
)</f>
        <v>105.06</v>
      </c>
      <c r="D20" s="124">
        <f>SUM(B15:B16)</f>
        <v>271</v>
      </c>
      <c r="E20" s="164">
        <f>SUM(C20:D20)</f>
        <v>376.06</v>
      </c>
      <c r="F20" s="112"/>
    </row>
    <row r="21" spans="1:6" x14ac:dyDescent="0.25">
      <c r="A21" s="163" t="s">
        <v>168</v>
      </c>
      <c r="B21" s="126">
        <v>11</v>
      </c>
      <c r="C21" s="107">
        <f>(
MIN(B$21,10)*B$8 +
MAX(MIN(B$21-10,10),0)*B$9 +
MAX(MIN(B$21-20,20),0)*B$10 +
MAX(MIN(B$21-40,40),0)*B$11 +
MAX(B$21-80,0)*B$12
)</f>
        <v>79.86</v>
      </c>
      <c r="D21" s="107">
        <f>SUM(B15:B16)</f>
        <v>271</v>
      </c>
      <c r="E21" s="110">
        <f>SUM(C21:D21)</f>
        <v>350.86</v>
      </c>
      <c r="F21" s="112"/>
    </row>
    <row r="22" spans="1:6" x14ac:dyDescent="0.25">
      <c r="A22" s="163" t="s">
        <v>735</v>
      </c>
      <c r="B22" s="126">
        <v>20</v>
      </c>
      <c r="C22" s="107">
        <f>(
MIN(B$22,10)*D$8 +
MAX(MIN(B$22-10,10),0)*D$9 +
MAX(MIN(B$22-20,20),0)*D$10 +
MAX(MIN(B$22-40,40),0)*D$11 +
MAX(B$22-80,0)*D$12
)</f>
        <v>218.7</v>
      </c>
      <c r="D22" s="107">
        <f>SUM(D15:D16)</f>
        <v>88.5</v>
      </c>
      <c r="E22" s="110">
        <f t="shared" ref="E22:E24" si="0">SUM(C22:D22)</f>
        <v>307.2</v>
      </c>
      <c r="F22" s="112"/>
    </row>
    <row r="23" spans="1:6" x14ac:dyDescent="0.25">
      <c r="A23" s="163" t="s">
        <v>145</v>
      </c>
      <c r="B23" s="126">
        <v>25</v>
      </c>
      <c r="C23" s="107">
        <f>(
MIN(B$23,10)*D$8 +
MAX(MIN(B$23-10,10),0)*D$9 +
MAX(MIN(B$23-20,20),0)*D$10 +
MAX(MIN(B$23-40,40),0)*D$11 +
MAX(B$23-80,0)*D$12
)</f>
        <v>262.05</v>
      </c>
      <c r="D23" s="107">
        <f>SUM(D15:D16)</f>
        <v>88.5</v>
      </c>
      <c r="E23" s="110">
        <f t="shared" si="0"/>
        <v>350.55</v>
      </c>
      <c r="F23" s="112"/>
    </row>
    <row r="24" spans="1:6" x14ac:dyDescent="0.25">
      <c r="A24" s="168" t="s">
        <v>67</v>
      </c>
      <c r="B24" s="169">
        <v>15</v>
      </c>
      <c r="C24" s="170">
        <f>(
MIN(B$24,10)*G$8 +
MAX(MIN(B$24-10,10),0)*G$9 +
MAX(MIN(B$24-20,20),0)*G$10 +
MAX(MIN(B$24-40,40),0)*G$11 +
MAX(B$24-80,0)*G$12
)</f>
        <v>236.64999999999998</v>
      </c>
      <c r="D24" s="170">
        <f>SUM(G15:G16)</f>
        <v>127.2</v>
      </c>
      <c r="E24" s="171">
        <f t="shared" si="0"/>
        <v>363.84999999999997</v>
      </c>
      <c r="F24" s="112"/>
    </row>
  </sheetData>
  <mergeCells count="4">
    <mergeCell ref="B2:G2"/>
    <mergeCell ref="B6:G6"/>
    <mergeCell ref="B13:G13"/>
    <mergeCell ref="B4:G4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F53FE-5B17-CE4B-81D1-088C53DF3EA8}">
  <dimension ref="A1:I36"/>
  <sheetViews>
    <sheetView view="pageBreakPreview" zoomScaleNormal="100" zoomScaleSheetLayoutView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11" defaultRowHeight="15.75" x14ac:dyDescent="0.25"/>
  <cols>
    <col min="1" max="1" width="12.875" customWidth="1"/>
    <col min="2" max="2" width="25.875" customWidth="1"/>
    <col min="3" max="3" width="40.875" style="79" customWidth="1"/>
    <col min="4" max="4" width="12.875" customWidth="1"/>
    <col min="6" max="6" width="12.875" customWidth="1"/>
    <col min="7" max="7" width="11" style="160"/>
    <col min="8" max="8" width="15.875" customWidth="1"/>
    <col min="9" max="9" width="30.875" customWidth="1"/>
  </cols>
  <sheetData>
    <row r="1" spans="1:9" x14ac:dyDescent="0.25">
      <c r="A1" s="17" t="s">
        <v>50</v>
      </c>
      <c r="B1" s="14" t="s">
        <v>52</v>
      </c>
      <c r="C1" s="148"/>
      <c r="D1" s="9"/>
      <c r="E1" s="9"/>
      <c r="F1" s="9"/>
      <c r="G1" s="157"/>
      <c r="H1" s="9"/>
      <c r="I1" s="9"/>
    </row>
    <row r="2" spans="1:9" x14ac:dyDescent="0.25">
      <c r="A2" s="6"/>
      <c r="B2" s="14" t="s">
        <v>137</v>
      </c>
      <c r="C2" s="148"/>
      <c r="D2" s="9"/>
      <c r="E2" s="9"/>
      <c r="F2" s="9"/>
      <c r="G2" s="157"/>
      <c r="H2" s="9"/>
      <c r="I2" s="9"/>
    </row>
    <row r="3" spans="1:9" x14ac:dyDescent="0.25">
      <c r="A3" s="9"/>
      <c r="B3" s="97" t="s">
        <v>41</v>
      </c>
      <c r="C3" s="97"/>
      <c r="D3" s="7">
        <v>100</v>
      </c>
      <c r="E3" s="7" t="s">
        <v>40</v>
      </c>
      <c r="F3" s="7"/>
      <c r="G3" s="155"/>
      <c r="H3" s="7"/>
      <c r="I3" s="7"/>
    </row>
    <row r="4" spans="1:9" x14ac:dyDescent="0.25">
      <c r="A4" s="9"/>
      <c r="B4" s="23"/>
      <c r="C4" s="149"/>
      <c r="D4" s="7"/>
      <c r="E4" s="7"/>
      <c r="F4" s="7"/>
      <c r="G4" s="155"/>
      <c r="H4" s="7"/>
      <c r="I4" s="7"/>
    </row>
    <row r="5" spans="1:9" x14ac:dyDescent="0.25">
      <c r="A5" s="17" t="s">
        <v>19</v>
      </c>
      <c r="B5" s="17" t="s">
        <v>108</v>
      </c>
      <c r="C5" s="150" t="s">
        <v>33</v>
      </c>
      <c r="D5" s="17" t="s">
        <v>23</v>
      </c>
      <c r="E5" s="17" t="s">
        <v>18</v>
      </c>
      <c r="F5" s="17" t="s">
        <v>49</v>
      </c>
      <c r="G5" s="155" t="s">
        <v>46</v>
      </c>
      <c r="H5" s="17" t="s">
        <v>34</v>
      </c>
      <c r="I5" s="17" t="s">
        <v>35</v>
      </c>
    </row>
    <row r="6" spans="1:9" x14ac:dyDescent="0.25">
      <c r="A6" s="17"/>
      <c r="B6" s="98" t="s">
        <v>17</v>
      </c>
      <c r="C6" s="98"/>
      <c r="D6" s="18"/>
      <c r="E6" s="18"/>
      <c r="F6" s="18"/>
      <c r="G6" s="157"/>
      <c r="H6" s="17"/>
      <c r="I6" s="17"/>
    </row>
    <row r="7" spans="1:9" x14ac:dyDescent="0.25">
      <c r="A7" s="6"/>
      <c r="B7" s="8"/>
      <c r="C7" s="151"/>
      <c r="D7" s="8"/>
      <c r="E7" s="8"/>
      <c r="F7" s="11"/>
      <c r="G7" s="136"/>
      <c r="H7" s="10"/>
      <c r="I7" s="6"/>
    </row>
    <row r="8" spans="1:9" x14ac:dyDescent="0.25">
      <c r="A8" s="6"/>
      <c r="B8" s="7"/>
      <c r="C8" s="152"/>
      <c r="D8" s="8"/>
      <c r="E8" s="8"/>
      <c r="F8" s="11"/>
      <c r="G8" s="136"/>
      <c r="H8" s="10"/>
      <c r="I8" s="6"/>
    </row>
    <row r="9" spans="1:9" x14ac:dyDescent="0.25">
      <c r="A9" s="17"/>
      <c r="B9" s="98" t="s">
        <v>38</v>
      </c>
      <c r="C9" s="98"/>
      <c r="D9" s="99"/>
      <c r="E9" s="99"/>
      <c r="F9" s="99"/>
      <c r="G9" s="155"/>
      <c r="H9" s="17"/>
      <c r="I9" s="17"/>
    </row>
    <row r="10" spans="1:9" x14ac:dyDescent="0.25">
      <c r="A10" s="6" t="str">
        <f>'TN SOR data - Labour'!A82</f>
        <v>L-0096</v>
      </c>
      <c r="B10" s="8" t="s">
        <v>138</v>
      </c>
      <c r="C10" s="151" t="str">
        <f>VLOOKUP(A10,'TN SOR data - Labour'!A:D,2,FALSE)</f>
        <v>Heavy Mazdoor</v>
      </c>
      <c r="D10" s="8">
        <v>2</v>
      </c>
      <c r="E10" s="8" t="s">
        <v>47</v>
      </c>
      <c r="F10" s="11">
        <f>VLOOKUP(A10,'TN SOR data - Labour'!A:D,4,FALSE)</f>
        <v>832</v>
      </c>
      <c r="G10" s="135" t="str">
        <f>VLOOKUP(A10,Table1[],3,FALSE)</f>
        <v>Day</v>
      </c>
      <c r="H10" s="10">
        <f>PRODUCT(D10,F10)</f>
        <v>1664</v>
      </c>
      <c r="I10" s="6"/>
    </row>
    <row r="11" spans="1:9" x14ac:dyDescent="0.25">
      <c r="A11" s="6" t="str">
        <f>'TN SOR data - Labour'!A63</f>
        <v>L-0073</v>
      </c>
      <c r="B11" s="8" t="s">
        <v>44</v>
      </c>
      <c r="C11" s="151" t="str">
        <f>VLOOKUP(A11,'TN SOR data - Labour'!A:D,2,FALSE)</f>
        <v>Mazdoor Category-I</v>
      </c>
      <c r="D11" s="8">
        <v>10</v>
      </c>
      <c r="E11" s="8" t="s">
        <v>47</v>
      </c>
      <c r="F11" s="11">
        <f>VLOOKUP(A11,'TN SOR data - Labour'!A:D,4,FALSE)</f>
        <v>766</v>
      </c>
      <c r="G11" s="135" t="str">
        <f>VLOOKUP(A11,Table1[],3,FALSE)</f>
        <v>Day</v>
      </c>
      <c r="H11" s="10">
        <f t="shared" ref="H11" si="0">PRODUCT(D11,F11)</f>
        <v>7660</v>
      </c>
      <c r="I11" s="6"/>
    </row>
    <row r="12" spans="1:9" x14ac:dyDescent="0.25">
      <c r="A12" s="6" t="str">
        <f>'TN SOR data - Labour'!A85</f>
        <v>L-0098</v>
      </c>
      <c r="B12" s="8" t="s">
        <v>45</v>
      </c>
      <c r="C12" s="151" t="str">
        <f>VLOOKUP(A12,'TN SOR data - Labour'!A:D,2,FALSE)</f>
        <v>Mazdoor Category-II</v>
      </c>
      <c r="D12" s="8">
        <v>10</v>
      </c>
      <c r="E12" s="8" t="s">
        <v>47</v>
      </c>
      <c r="F12" s="11">
        <f>VLOOKUP(A12,'TN SOR data - Labour'!A:D,4,FALSE)</f>
        <v>628</v>
      </c>
      <c r="G12" s="135" t="str">
        <f>VLOOKUP(A12,Table1[],3,FALSE)</f>
        <v>Day</v>
      </c>
      <c r="H12" s="10">
        <f>PRODUCT(D12,F12)</f>
        <v>6280</v>
      </c>
      <c r="I12" s="6"/>
    </row>
    <row r="13" spans="1:9" x14ac:dyDescent="0.25">
      <c r="A13" s="6"/>
      <c r="B13" s="6"/>
      <c r="C13" s="153"/>
      <c r="D13" s="6"/>
      <c r="E13" s="6"/>
      <c r="F13" s="6"/>
      <c r="G13" s="136"/>
      <c r="H13" s="6"/>
      <c r="I13" s="6"/>
    </row>
    <row r="14" spans="1:9" x14ac:dyDescent="0.25">
      <c r="A14" s="17"/>
      <c r="B14" s="98" t="s">
        <v>39</v>
      </c>
      <c r="C14" s="98"/>
      <c r="D14" s="99"/>
      <c r="E14" s="99"/>
      <c r="F14" s="99"/>
      <c r="G14" s="155"/>
      <c r="H14" s="17"/>
      <c r="I14" s="17"/>
    </row>
    <row r="15" spans="1:9" ht="25.5" x14ac:dyDescent="0.25">
      <c r="A15" s="6" t="str">
        <f>'SOR data - Equipment'!A16</f>
        <v>H-0111</v>
      </c>
      <c r="B15" s="8" t="s">
        <v>139</v>
      </c>
      <c r="C15" s="151" t="str">
        <f>VLOOKUP(A15,'SOR data - Equipment'!A:D,2,FALSE)</f>
        <v>Earth Excavator- Crawler / Tracked Excavator 1 m3 capacity</v>
      </c>
      <c r="D15" s="8">
        <v>8</v>
      </c>
      <c r="E15" s="8" t="s">
        <v>783</v>
      </c>
      <c r="F15" s="11">
        <f>VLOOKUP(A15,'SOR data - Equipment'!A:D,4,FALSE)</f>
        <v>2000</v>
      </c>
      <c r="G15" s="135" t="str">
        <f>VLOOKUP(A15,'SOR data - Equipment'!A:D,3,FALSE)</f>
        <v>Hour</v>
      </c>
      <c r="H15" s="10">
        <f>PRODUCT(D15,F15)</f>
        <v>16000</v>
      </c>
      <c r="I15" s="6"/>
    </row>
    <row r="16" spans="1:9" x14ac:dyDescent="0.25">
      <c r="A16" s="6" t="str">
        <f>'SOR data - Equipment'!A20</f>
        <v>H-0115</v>
      </c>
      <c r="B16" s="8" t="s">
        <v>784</v>
      </c>
      <c r="C16" s="151" t="str">
        <f>VLOOKUP(A16,'SOR data - Equipment'!A:D,2,FALSE)</f>
        <v>Hire running charges for Loader</v>
      </c>
      <c r="D16" s="8">
        <v>8</v>
      </c>
      <c r="E16" s="8" t="s">
        <v>783</v>
      </c>
      <c r="F16" s="11">
        <f>VLOOKUP(A16,'SOR data - Equipment'!A:D,4,FALSE)</f>
        <v>729</v>
      </c>
      <c r="G16" s="135" t="str">
        <f>VLOOKUP(A16,'SOR data - Equipment'!A:D,3,FALSE)</f>
        <v>Hour</v>
      </c>
      <c r="H16" s="10">
        <f>PRODUCT(D16,F16)</f>
        <v>5832</v>
      </c>
      <c r="I16" s="6"/>
    </row>
    <row r="17" spans="1:9" x14ac:dyDescent="0.25">
      <c r="A17" s="6" t="str">
        <f>'SOR data - Equipment'!A19</f>
        <v>H-0114</v>
      </c>
      <c r="B17" s="8" t="s">
        <v>785</v>
      </c>
      <c r="C17" s="151" t="str">
        <f>VLOOKUP(A17,'SOR data - Equipment'!A:D,2,FALSE)</f>
        <v>Hire running charges for Tipper</v>
      </c>
      <c r="D17" s="8">
        <v>8</v>
      </c>
      <c r="E17" s="8" t="s">
        <v>783</v>
      </c>
      <c r="F17" s="11">
        <f>VLOOKUP(A17,'SOR data - Equipment'!A:D,4,FALSE)</f>
        <v>938</v>
      </c>
      <c r="G17" s="135" t="str">
        <f>VLOOKUP(A17,'SOR data - Equipment'!A:D,3,FALSE)</f>
        <v>Hour</v>
      </c>
      <c r="H17" s="10">
        <f>PRODUCT(D17,F17)</f>
        <v>7504</v>
      </c>
      <c r="I17" s="6"/>
    </row>
    <row r="18" spans="1:9" x14ac:dyDescent="0.25">
      <c r="A18" s="6" t="str">
        <f>'SOR data - Equipment'!A21</f>
        <v>H-0116</v>
      </c>
      <c r="B18" s="8" t="s">
        <v>140</v>
      </c>
      <c r="C18" s="151" t="str">
        <f>VLOOKUP(A18,'SOR data - Equipment'!A:D,2,FALSE)</f>
        <v>Hire charges for Excavation Tools and Tackles</v>
      </c>
      <c r="D18" s="8">
        <v>1</v>
      </c>
      <c r="E18" s="8" t="s">
        <v>48</v>
      </c>
      <c r="F18" s="11">
        <f>VLOOKUP(A18,'SOR data - Equipment'!A:D,4,FALSE)</f>
        <v>500</v>
      </c>
      <c r="G18" s="135" t="str">
        <f>VLOOKUP(A18,'SOR data - Equipment'!A:D,3,FALSE)</f>
        <v>Day</v>
      </c>
      <c r="H18" s="10">
        <f>PRODUCT(D18,F18)</f>
        <v>500</v>
      </c>
      <c r="I18" s="6"/>
    </row>
    <row r="19" spans="1:9" x14ac:dyDescent="0.25">
      <c r="A19" s="6"/>
      <c r="B19" s="8"/>
      <c r="C19" s="151"/>
      <c r="D19" s="8"/>
      <c r="E19" s="8"/>
      <c r="F19" s="11"/>
      <c r="G19" s="136"/>
      <c r="H19" s="10"/>
      <c r="I19" s="6"/>
    </row>
    <row r="20" spans="1:9" x14ac:dyDescent="0.25">
      <c r="A20" s="6"/>
      <c r="B20" s="100" t="s">
        <v>36</v>
      </c>
      <c r="C20" s="100"/>
      <c r="D20" s="100"/>
      <c r="E20" s="100"/>
      <c r="F20" s="100"/>
      <c r="G20" s="158"/>
      <c r="H20" s="19">
        <f>SUM(H7:H7,H10:H12,H15:H18)</f>
        <v>45440</v>
      </c>
      <c r="I20" s="8"/>
    </row>
    <row r="21" spans="1:9" x14ac:dyDescent="0.25">
      <c r="A21" s="6"/>
      <c r="B21" s="6"/>
      <c r="C21" s="153"/>
      <c r="D21" s="6"/>
      <c r="E21" s="6"/>
      <c r="F21" s="6"/>
      <c r="G21" s="136"/>
      <c r="H21" s="6"/>
      <c r="I21" s="6"/>
    </row>
    <row r="22" spans="1:9" x14ac:dyDescent="0.25">
      <c r="A22" s="6"/>
      <c r="B22" s="96" t="s">
        <v>24</v>
      </c>
      <c r="C22" s="96"/>
      <c r="D22" s="96"/>
      <c r="E22" s="96"/>
      <c r="F22" s="13">
        <v>1.4999999999999999E-2</v>
      </c>
      <c r="G22" s="156"/>
      <c r="H22" s="10">
        <f>PRODUCT(H20,F22)</f>
        <v>681.6</v>
      </c>
      <c r="I22" s="6"/>
    </row>
    <row r="23" spans="1:9" x14ac:dyDescent="0.25">
      <c r="A23" s="6"/>
      <c r="B23" s="96" t="s">
        <v>25</v>
      </c>
      <c r="C23" s="96"/>
      <c r="D23" s="96"/>
      <c r="E23" s="96"/>
      <c r="F23" s="13">
        <v>0.01</v>
      </c>
      <c r="G23" s="156"/>
      <c r="H23" s="10">
        <f>PRODUCT(H20,F23)</f>
        <v>454.40000000000003</v>
      </c>
      <c r="I23" s="6"/>
    </row>
    <row r="24" spans="1:9" x14ac:dyDescent="0.25">
      <c r="A24" s="6"/>
      <c r="B24" s="96" t="s">
        <v>26</v>
      </c>
      <c r="C24" s="96"/>
      <c r="D24" s="96"/>
      <c r="E24" s="96"/>
      <c r="F24" s="13">
        <v>5.0000000000000001E-3</v>
      </c>
      <c r="G24" s="156"/>
      <c r="H24" s="10">
        <f>PRODUCT(H20,F24)</f>
        <v>227.20000000000002</v>
      </c>
      <c r="I24" s="6"/>
    </row>
    <row r="25" spans="1:9" x14ac:dyDescent="0.25">
      <c r="A25" s="6"/>
      <c r="B25" s="96" t="s">
        <v>27</v>
      </c>
      <c r="C25" s="96"/>
      <c r="D25" s="96"/>
      <c r="E25" s="96"/>
      <c r="F25" s="13">
        <v>0.01</v>
      </c>
      <c r="G25" s="156"/>
      <c r="H25" s="10">
        <f>PRODUCT(H20,F25)</f>
        <v>454.40000000000003</v>
      </c>
      <c r="I25" s="6"/>
    </row>
    <row r="26" spans="1:9" x14ac:dyDescent="0.25">
      <c r="A26" s="6"/>
      <c r="B26" s="96" t="s">
        <v>28</v>
      </c>
      <c r="C26" s="96"/>
      <c r="D26" s="96"/>
      <c r="E26" s="96"/>
      <c r="F26" s="13">
        <v>5.0000000000000001E-3</v>
      </c>
      <c r="G26" s="156"/>
      <c r="H26" s="10">
        <f>PRODUCT(H20,F26)</f>
        <v>227.20000000000002</v>
      </c>
      <c r="I26" s="6"/>
    </row>
    <row r="27" spans="1:9" x14ac:dyDescent="0.25">
      <c r="A27" s="6"/>
      <c r="B27" s="96" t="s">
        <v>29</v>
      </c>
      <c r="C27" s="96"/>
      <c r="D27" s="96"/>
      <c r="E27" s="96"/>
      <c r="F27" s="13">
        <v>5.0000000000000001E-3</v>
      </c>
      <c r="G27" s="156"/>
      <c r="H27" s="10">
        <f>PRODUCT(H20,F27)</f>
        <v>227.20000000000002</v>
      </c>
      <c r="I27" s="6"/>
    </row>
    <row r="28" spans="1:9" x14ac:dyDescent="0.25">
      <c r="A28" s="6"/>
      <c r="B28" s="96" t="s">
        <v>30</v>
      </c>
      <c r="C28" s="96"/>
      <c r="D28" s="96"/>
      <c r="E28" s="96"/>
      <c r="F28" s="13">
        <v>5.0000000000000001E-3</v>
      </c>
      <c r="G28" s="156"/>
      <c r="H28" s="10">
        <f>PRODUCT(H20,F28)</f>
        <v>227.20000000000002</v>
      </c>
      <c r="I28" s="6"/>
    </row>
    <row r="29" spans="1:9" x14ac:dyDescent="0.25">
      <c r="A29" s="6"/>
      <c r="B29" s="96" t="s">
        <v>31</v>
      </c>
      <c r="C29" s="96"/>
      <c r="D29" s="96"/>
      <c r="E29" s="96"/>
      <c r="F29" s="13">
        <v>0.05</v>
      </c>
      <c r="G29" s="156"/>
      <c r="H29" s="10">
        <f>PRODUCT(H20,F29)</f>
        <v>2272</v>
      </c>
      <c r="I29" s="6"/>
    </row>
    <row r="30" spans="1:9" x14ac:dyDescent="0.25">
      <c r="A30" s="6"/>
      <c r="B30" s="96" t="s">
        <v>32</v>
      </c>
      <c r="C30" s="96"/>
      <c r="D30" s="96"/>
      <c r="E30" s="96"/>
      <c r="F30" s="13">
        <v>0.1</v>
      </c>
      <c r="G30" s="156"/>
      <c r="H30" s="10">
        <f>PRODUCT(H20,F30)</f>
        <v>4544</v>
      </c>
      <c r="I30" s="6"/>
    </row>
    <row r="31" spans="1:9" x14ac:dyDescent="0.25">
      <c r="A31" s="9"/>
      <c r="B31" s="9"/>
      <c r="C31" s="154"/>
      <c r="D31" s="9"/>
      <c r="E31" s="9"/>
      <c r="F31" s="9"/>
      <c r="G31" s="157"/>
      <c r="H31" s="9"/>
      <c r="I31" s="9"/>
    </row>
    <row r="32" spans="1:9" x14ac:dyDescent="0.25">
      <c r="A32" s="9"/>
      <c r="B32" s="100" t="s">
        <v>37</v>
      </c>
      <c r="C32" s="100"/>
      <c r="D32" s="100"/>
      <c r="E32" s="100"/>
      <c r="F32" s="100"/>
      <c r="G32" s="158"/>
      <c r="H32" s="19">
        <f>SUM(H22:H30)</f>
        <v>9315.2000000000007</v>
      </c>
      <c r="I32" s="9"/>
    </row>
    <row r="33" spans="1:9" x14ac:dyDescent="0.25">
      <c r="A33" s="9"/>
      <c r="B33" s="9"/>
      <c r="C33" s="154"/>
      <c r="D33" s="9"/>
      <c r="E33" s="9"/>
      <c r="F33" s="9"/>
      <c r="G33" s="157"/>
      <c r="H33" s="9"/>
      <c r="I33" s="9"/>
    </row>
    <row r="34" spans="1:9" x14ac:dyDescent="0.25">
      <c r="A34" s="9"/>
      <c r="B34" s="101" t="s">
        <v>167</v>
      </c>
      <c r="C34" s="101"/>
      <c r="D34" s="101"/>
      <c r="E34" s="101"/>
      <c r="F34" s="101"/>
      <c r="G34" s="159"/>
      <c r="H34" s="21">
        <f>SUM(H20,H32)</f>
        <v>54755.199999999997</v>
      </c>
      <c r="I34" s="9"/>
    </row>
    <row r="35" spans="1:9" x14ac:dyDescent="0.25">
      <c r="A35" s="9"/>
      <c r="B35" s="9"/>
      <c r="C35" s="154"/>
      <c r="D35" s="9"/>
      <c r="E35" s="9"/>
      <c r="F35" s="9"/>
      <c r="G35" s="157"/>
      <c r="H35" s="9"/>
      <c r="I35" s="9"/>
    </row>
    <row r="36" spans="1:9" x14ac:dyDescent="0.25">
      <c r="A36" s="9"/>
      <c r="B36" s="101" t="s">
        <v>42</v>
      </c>
      <c r="C36" s="101"/>
      <c r="D36" s="101"/>
      <c r="E36" s="101"/>
      <c r="F36" s="101"/>
      <c r="G36" s="159"/>
      <c r="H36" s="21">
        <f>CEILING(H34/D3,1)</f>
        <v>548</v>
      </c>
      <c r="I36" s="9"/>
    </row>
  </sheetData>
  <mergeCells count="19">
    <mergeCell ref="B36:F36"/>
    <mergeCell ref="B27:E27"/>
    <mergeCell ref="B28:E28"/>
    <mergeCell ref="B29:E29"/>
    <mergeCell ref="B30:E30"/>
    <mergeCell ref="B32:F32"/>
    <mergeCell ref="B34:F34"/>
    <mergeCell ref="B26:E26"/>
    <mergeCell ref="B3:C3"/>
    <mergeCell ref="B6:C6"/>
    <mergeCell ref="B9:C9"/>
    <mergeCell ref="D9:F9"/>
    <mergeCell ref="B14:C14"/>
    <mergeCell ref="D14:F14"/>
    <mergeCell ref="B20:F20"/>
    <mergeCell ref="B22:E22"/>
    <mergeCell ref="B23:E23"/>
    <mergeCell ref="B24:E24"/>
    <mergeCell ref="B25:E2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720BC-6675-6C4D-B290-FF442538FCD7}">
  <dimension ref="A1:I43"/>
  <sheetViews>
    <sheetView view="pageBreakPreview" zoomScaleNormal="143" zoomScaleSheetLayoutView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11" defaultRowHeight="15.75" x14ac:dyDescent="0.25"/>
  <cols>
    <col min="1" max="1" width="12.875" customWidth="1"/>
    <col min="2" max="2" width="25.875" customWidth="1"/>
    <col min="3" max="3" width="40.875" customWidth="1"/>
    <col min="4" max="4" width="12.875" customWidth="1"/>
    <col min="5" max="5" width="11" customWidth="1"/>
    <col min="6" max="6" width="12.875" customWidth="1"/>
    <col min="8" max="8" width="15.875" customWidth="1"/>
    <col min="9" max="9" width="30.875" customWidth="1"/>
  </cols>
  <sheetData>
    <row r="1" spans="1:9" x14ac:dyDescent="0.25">
      <c r="A1" s="17" t="s">
        <v>50</v>
      </c>
      <c r="B1" s="14" t="s">
        <v>54</v>
      </c>
      <c r="C1" s="14"/>
      <c r="D1" s="9"/>
      <c r="E1" s="9"/>
      <c r="F1" s="9"/>
      <c r="G1" s="9"/>
      <c r="H1" s="9"/>
      <c r="I1" s="9"/>
    </row>
    <row r="2" spans="1:9" x14ac:dyDescent="0.25">
      <c r="A2" s="6"/>
      <c r="B2" s="14" t="s">
        <v>126</v>
      </c>
      <c r="C2" s="14"/>
      <c r="D2" s="9"/>
      <c r="E2" s="9"/>
      <c r="F2" s="9"/>
      <c r="G2" s="9"/>
      <c r="H2" s="9"/>
      <c r="I2" s="9"/>
    </row>
    <row r="3" spans="1:9" x14ac:dyDescent="0.25">
      <c r="A3" s="9"/>
      <c r="B3" s="97" t="s">
        <v>41</v>
      </c>
      <c r="C3" s="97"/>
      <c r="D3" s="7">
        <v>10</v>
      </c>
      <c r="E3" s="7" t="s">
        <v>40</v>
      </c>
      <c r="F3" s="7"/>
      <c r="G3" s="7"/>
      <c r="H3" s="7"/>
      <c r="I3" s="7"/>
    </row>
    <row r="4" spans="1:9" x14ac:dyDescent="0.25">
      <c r="A4" s="9"/>
      <c r="B4" s="23"/>
      <c r="C4" s="23"/>
      <c r="D4" s="7"/>
      <c r="E4" s="7"/>
      <c r="F4" s="7"/>
      <c r="G4" s="7"/>
      <c r="H4" s="7"/>
      <c r="I4" s="7"/>
    </row>
    <row r="5" spans="1:9" x14ac:dyDescent="0.25">
      <c r="A5" s="17" t="s">
        <v>19</v>
      </c>
      <c r="B5" s="17" t="s">
        <v>108</v>
      </c>
      <c r="C5" s="17" t="s">
        <v>33</v>
      </c>
      <c r="D5" s="17" t="s">
        <v>23</v>
      </c>
      <c r="E5" s="17" t="s">
        <v>18</v>
      </c>
      <c r="F5" s="17" t="s">
        <v>49</v>
      </c>
      <c r="G5" s="17" t="s">
        <v>46</v>
      </c>
      <c r="H5" s="17" t="s">
        <v>34</v>
      </c>
      <c r="I5" s="17" t="s">
        <v>35</v>
      </c>
    </row>
    <row r="6" spans="1:9" x14ac:dyDescent="0.25">
      <c r="A6" s="17"/>
      <c r="B6" s="98" t="s">
        <v>17</v>
      </c>
      <c r="C6" s="98"/>
      <c r="D6" s="18"/>
      <c r="E6" s="18"/>
      <c r="F6" s="18"/>
      <c r="G6" s="18"/>
      <c r="H6" s="17"/>
      <c r="I6" s="17"/>
    </row>
    <row r="7" spans="1:9" x14ac:dyDescent="0.25">
      <c r="A7" s="6" t="str">
        <f>'TN SOR data - Material'!A75</f>
        <v>M-0086</v>
      </c>
      <c r="B7" s="8" t="s">
        <v>106</v>
      </c>
      <c r="C7" s="29" t="str">
        <f>VLOOKUP(A7,Table24[#All],2,FALSE)</f>
        <v>HBGS Jelly 40mm size</v>
      </c>
      <c r="D7" s="28">
        <v>9.5</v>
      </c>
      <c r="E7" s="8" t="s">
        <v>40</v>
      </c>
      <c r="F7" s="11">
        <f>VLOOKUP(A7,'TN SOR data - Material'!A:D,4,FALSE)</f>
        <v>1362.9</v>
      </c>
      <c r="G7" s="135" t="str">
        <f>VLOOKUP(A7,Table24[],3,FALSE)</f>
        <v>Cu.M</v>
      </c>
      <c r="H7" s="10">
        <f t="shared" ref="H7:H9" si="0">PRODUCT(D7,F7)</f>
        <v>12947.550000000001</v>
      </c>
      <c r="I7" s="6"/>
    </row>
    <row r="8" spans="1:9" x14ac:dyDescent="0.25">
      <c r="A8" s="6" t="str">
        <f>'TN SOR data - Material'!A94</f>
        <v>M-0125</v>
      </c>
      <c r="B8" s="8" t="s">
        <v>107</v>
      </c>
      <c r="C8" s="29" t="str">
        <f>VLOOKUP(A8,Table24[#All],2,FALSE)</f>
        <v>Crushed Stone Sand (Commercially called M-Sand)</v>
      </c>
      <c r="D8" s="28">
        <v>4.75</v>
      </c>
      <c r="E8" s="8" t="s">
        <v>40</v>
      </c>
      <c r="F8" s="11">
        <f>VLOOKUP(A8,'TN SOR data - Material'!A:D,4,FALSE)</f>
        <v>1578.8</v>
      </c>
      <c r="G8" s="135" t="str">
        <f>VLOOKUP(A8,Table24[],3,FALSE)</f>
        <v>Cu.M</v>
      </c>
      <c r="H8" s="10">
        <f t="shared" si="0"/>
        <v>7499.3</v>
      </c>
      <c r="I8" s="6"/>
    </row>
    <row r="9" spans="1:9" ht="25.5" x14ac:dyDescent="0.25">
      <c r="A9" s="6" t="str">
        <f>'TN SOR data - Material'!A2</f>
        <v>M-0001</v>
      </c>
      <c r="B9" s="151" t="s">
        <v>806</v>
      </c>
      <c r="C9" s="29" t="str">
        <f>VLOOKUP(A9,Table24[#All],2,FALSE)</f>
        <v>Cement</v>
      </c>
      <c r="D9" s="28">
        <v>1.3680000000000001</v>
      </c>
      <c r="E9" s="8" t="s">
        <v>114</v>
      </c>
      <c r="F9" s="11">
        <f>VLOOKUP(A9,'TN SOR data - Material'!A:D,4,FALSE)</f>
        <v>5602.5</v>
      </c>
      <c r="G9" s="135" t="str">
        <f>VLOOKUP(A9,Table24[],3,FALSE)</f>
        <v>MT</v>
      </c>
      <c r="H9" s="10">
        <f t="shared" si="0"/>
        <v>7664.22</v>
      </c>
      <c r="I9" s="6"/>
    </row>
    <row r="10" spans="1:9" x14ac:dyDescent="0.25">
      <c r="A10" s="6"/>
      <c r="B10" s="7"/>
      <c r="C10" s="7"/>
      <c r="D10" s="8"/>
      <c r="E10" s="8"/>
      <c r="F10" s="11"/>
      <c r="G10" s="11"/>
      <c r="H10" s="10"/>
      <c r="I10" s="6"/>
    </row>
    <row r="11" spans="1:9" x14ac:dyDescent="0.25">
      <c r="A11" s="17"/>
      <c r="B11" s="98" t="s">
        <v>38</v>
      </c>
      <c r="C11" s="98"/>
      <c r="D11" s="99"/>
      <c r="E11" s="99"/>
      <c r="F11" s="99"/>
      <c r="G11" s="22"/>
      <c r="H11" s="17"/>
      <c r="I11" s="17"/>
    </row>
    <row r="12" spans="1:9" x14ac:dyDescent="0.25">
      <c r="A12" s="6" t="str">
        <f>'TN SOR data - Labour'!A26</f>
        <v>L-0029</v>
      </c>
      <c r="B12" s="8" t="s">
        <v>148</v>
      </c>
      <c r="C12" s="29" t="str">
        <f>VLOOKUP(A12,'TN SOR data - Labour'!A:D,2,FALSE)</f>
        <v>Mason for Brick Work-I Class</v>
      </c>
      <c r="D12" s="8">
        <v>0.5</v>
      </c>
      <c r="E12" s="8" t="s">
        <v>47</v>
      </c>
      <c r="F12" s="11">
        <f>VLOOKUP(A12,'TN SOR data - Labour'!A:D,4,FALSE)</f>
        <v>1174</v>
      </c>
      <c r="G12" s="135" t="str">
        <f>VLOOKUP(A12,Table1[],3,FALSE)</f>
        <v>Day</v>
      </c>
      <c r="H12" s="10">
        <f>PRODUCT(D12,F12)</f>
        <v>587</v>
      </c>
      <c r="I12" s="6"/>
    </row>
    <row r="13" spans="1:9" x14ac:dyDescent="0.25">
      <c r="A13" s="6" t="str">
        <f>'TN SOR data - Labour'!A26</f>
        <v>L-0029</v>
      </c>
      <c r="B13" s="8" t="s">
        <v>22</v>
      </c>
      <c r="C13" s="29" t="str">
        <f>VLOOKUP(A13,'TN SOR data - Labour'!A:D,2,FALSE)</f>
        <v>Mason for Brick Work-I Class</v>
      </c>
      <c r="D13" s="8">
        <v>1.5</v>
      </c>
      <c r="E13" s="8" t="s">
        <v>47</v>
      </c>
      <c r="F13" s="11">
        <f>VLOOKUP(A13,'TN SOR data - Labour'!A:D,4,FALSE)</f>
        <v>1174</v>
      </c>
      <c r="G13" s="135" t="str">
        <f>VLOOKUP(A13,Table1[],3,FALSE)</f>
        <v>Day</v>
      </c>
      <c r="H13" s="10">
        <f>PRODUCT(D13,F13)</f>
        <v>1761</v>
      </c>
      <c r="I13" s="6"/>
    </row>
    <row r="14" spans="1:9" x14ac:dyDescent="0.25">
      <c r="A14" s="6" t="str">
        <f>'TN SOR data - Labour'!A63</f>
        <v>L-0073</v>
      </c>
      <c r="B14" s="8" t="s">
        <v>44</v>
      </c>
      <c r="C14" s="29" t="str">
        <f>VLOOKUP(A14,'TN SOR data - Labour'!A:D,2,FALSE)</f>
        <v>Mazdoor Category-I</v>
      </c>
      <c r="D14" s="8">
        <v>4</v>
      </c>
      <c r="E14" s="8" t="s">
        <v>47</v>
      </c>
      <c r="F14" s="11">
        <f>VLOOKUP(A14,'TN SOR data - Labour'!A:D,4,FALSE)</f>
        <v>766</v>
      </c>
      <c r="G14" s="135" t="str">
        <f>VLOOKUP(A14,Table1[],3,FALSE)</f>
        <v>Day</v>
      </c>
      <c r="H14" s="10">
        <f t="shared" ref="H14" si="1">PRODUCT(D14,F14)</f>
        <v>3064</v>
      </c>
      <c r="I14" s="6"/>
    </row>
    <row r="15" spans="1:9" x14ac:dyDescent="0.25">
      <c r="A15" s="6" t="str">
        <f>'TN SOR data - Labour'!A85</f>
        <v>L-0098</v>
      </c>
      <c r="B15" s="8" t="s">
        <v>45</v>
      </c>
      <c r="C15" s="29" t="str">
        <f>VLOOKUP(A15,'TN SOR data - Labour'!A:D,2,FALSE)</f>
        <v>Mazdoor Category-II</v>
      </c>
      <c r="D15" s="8">
        <v>4</v>
      </c>
      <c r="E15" s="8" t="s">
        <v>47</v>
      </c>
      <c r="F15" s="11">
        <f>VLOOKUP(A15,'TN SOR data - Labour'!A:D,4,FALSE)</f>
        <v>628</v>
      </c>
      <c r="G15" s="135" t="str">
        <f>VLOOKUP(A15,Table1[],3,FALSE)</f>
        <v>Day</v>
      </c>
      <c r="H15" s="10">
        <f>PRODUCT(D15,F15)</f>
        <v>2512</v>
      </c>
      <c r="I15" s="6"/>
    </row>
    <row r="16" spans="1:9" x14ac:dyDescent="0.25">
      <c r="A16" s="6"/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17"/>
      <c r="B17" s="98" t="s">
        <v>39</v>
      </c>
      <c r="C17" s="98"/>
      <c r="D17" s="99"/>
      <c r="E17" s="99"/>
      <c r="F17" s="99"/>
      <c r="G17" s="22"/>
      <c r="H17" s="17"/>
      <c r="I17" s="17"/>
    </row>
    <row r="18" spans="1:9" x14ac:dyDescent="0.25">
      <c r="A18" s="6" t="str">
        <f>'SOR data - Equipment'!A15</f>
        <v>H-0110</v>
      </c>
      <c r="B18" s="8" t="s">
        <v>109</v>
      </c>
      <c r="C18" s="151" t="str">
        <f>VLOOKUP(A18,'SOR data - Equipment'!A:D,2,FALSE)</f>
        <v>Mixer Machine with Hopper</v>
      </c>
      <c r="D18" s="8">
        <v>1</v>
      </c>
      <c r="E18" s="8" t="s">
        <v>47</v>
      </c>
      <c r="F18" s="11">
        <f>VLOOKUP(A18,'SOR data - Equipment'!A:D,4,FALSE)</f>
        <v>1500</v>
      </c>
      <c r="G18" s="135" t="str">
        <f>VLOOKUP(A18,'SOR data - Equipment'!A:D,3,FALSE)</f>
        <v>Day</v>
      </c>
      <c r="H18" s="10">
        <f>PRODUCT(D18,F18)</f>
        <v>1500</v>
      </c>
      <c r="I18" s="6"/>
    </row>
    <row r="19" spans="1:9" ht="25.5" x14ac:dyDescent="0.25">
      <c r="A19" s="6" t="str">
        <f>'SOR data - Equipment'!A14</f>
        <v>H-0109</v>
      </c>
      <c r="B19" s="8" t="s">
        <v>110</v>
      </c>
      <c r="C19" s="151" t="str">
        <f>VLOOKUP(A19,'SOR data - Equipment'!A:D,2,FALSE)</f>
        <v>Hire Charges for Surface Vibrator or Earth Rammer including Fuel</v>
      </c>
      <c r="D19" s="8">
        <v>1</v>
      </c>
      <c r="E19" s="8" t="s">
        <v>47</v>
      </c>
      <c r="F19" s="11">
        <f>VLOOKUP(A19,'SOR data - Equipment'!A:D,4,FALSE)</f>
        <v>1000</v>
      </c>
      <c r="G19" s="135" t="str">
        <f>VLOOKUP(A19,'SOR data - Equipment'!A:D,3,FALSE)</f>
        <v>Day</v>
      </c>
      <c r="H19" s="10">
        <f>PRODUCT(D19,F19)</f>
        <v>1000</v>
      </c>
      <c r="I19" s="6"/>
    </row>
    <row r="20" spans="1:9" x14ac:dyDescent="0.25">
      <c r="A20" s="6" t="str">
        <f>'SOR data - Equipment'!A24</f>
        <v>H-0119</v>
      </c>
      <c r="B20" s="8" t="s">
        <v>111</v>
      </c>
      <c r="C20" s="151" t="str">
        <f>VLOOKUP(A20,'SOR data - Equipment'!A:D,2,FALSE)</f>
        <v>Hire charges for Concrete Formwork</v>
      </c>
      <c r="D20" s="8">
        <v>1</v>
      </c>
      <c r="E20" s="8" t="s">
        <v>48</v>
      </c>
      <c r="F20" s="11">
        <f>VLOOKUP(A20,'SOR data - Equipment'!A:D,4,FALSE)</f>
        <v>2500</v>
      </c>
      <c r="G20" s="135" t="str">
        <f>VLOOKUP(A20,'SOR data - Equipment'!A:D,3,FALSE)</f>
        <v>Day</v>
      </c>
      <c r="H20" s="10">
        <f>PRODUCT(D20,F20)</f>
        <v>2500</v>
      </c>
      <c r="I20" s="6"/>
    </row>
    <row r="21" spans="1:9" x14ac:dyDescent="0.25">
      <c r="A21" s="6"/>
      <c r="B21" s="8"/>
      <c r="C21" s="8"/>
      <c r="D21" s="8"/>
      <c r="E21" s="8"/>
      <c r="F21" s="11"/>
      <c r="G21" s="11"/>
      <c r="H21" s="10"/>
      <c r="I21" s="6"/>
    </row>
    <row r="22" spans="1:9" x14ac:dyDescent="0.25">
      <c r="A22" s="12"/>
      <c r="B22" s="98" t="s">
        <v>180</v>
      </c>
      <c r="C22" s="98"/>
      <c r="D22" s="8"/>
      <c r="E22" s="8"/>
      <c r="F22" s="11"/>
      <c r="G22" s="11"/>
      <c r="H22" s="10"/>
      <c r="I22" s="6"/>
    </row>
    <row r="23" spans="1:9" x14ac:dyDescent="0.25">
      <c r="A23" s="12"/>
      <c r="B23" s="151" t="str">
        <f>'LEAD &amp; LIFT'!A22</f>
        <v>Course Aggregate</v>
      </c>
      <c r="C23" s="8"/>
      <c r="D23" s="28">
        <f>D7</f>
        <v>9.5</v>
      </c>
      <c r="E23" s="8" t="str">
        <f>E7</f>
        <v>Cu.M</v>
      </c>
      <c r="F23" s="11">
        <f>VLOOKUP(B23,Table13[#All],5,FALSE)</f>
        <v>307.2</v>
      </c>
      <c r="G23" s="8" t="str">
        <f>G7</f>
        <v>Cu.M</v>
      </c>
      <c r="H23" s="10">
        <f>(F23*D23)</f>
        <v>2918.4</v>
      </c>
      <c r="I23" s="6"/>
    </row>
    <row r="24" spans="1:9" x14ac:dyDescent="0.25">
      <c r="A24" s="12"/>
      <c r="B24" s="151" t="str">
        <f>'LEAD &amp; LIFT'!A23</f>
        <v>Fine Aggregate</v>
      </c>
      <c r="C24" s="8"/>
      <c r="D24" s="28">
        <f>D8</f>
        <v>4.75</v>
      </c>
      <c r="E24" s="8" t="str">
        <f>E8</f>
        <v>Cu.M</v>
      </c>
      <c r="F24" s="11">
        <f>VLOOKUP(B24,Table13[#All],5,FALSE)</f>
        <v>350.55</v>
      </c>
      <c r="G24" s="8" t="str">
        <f>G8</f>
        <v>Cu.M</v>
      </c>
      <c r="H24" s="10">
        <f>(F24*D24)</f>
        <v>1665.1125</v>
      </c>
      <c r="I24" s="6"/>
    </row>
    <row r="25" spans="1:9" x14ac:dyDescent="0.25">
      <c r="A25" s="12"/>
      <c r="B25" s="151" t="str">
        <f>'LEAD &amp; LIFT'!A20</f>
        <v>Cement</v>
      </c>
      <c r="C25" s="8"/>
      <c r="D25" s="28">
        <f>D9</f>
        <v>1.3680000000000001</v>
      </c>
      <c r="E25" s="8" t="str">
        <f>E9</f>
        <v>MT</v>
      </c>
      <c r="F25" s="11">
        <f>VLOOKUP(B25,Table13[#All],5,FALSE)</f>
        <v>376.06</v>
      </c>
      <c r="G25" s="8" t="str">
        <f>G9</f>
        <v>MT</v>
      </c>
      <c r="H25" s="10">
        <f>(F25*D25)</f>
        <v>514.45008000000007</v>
      </c>
      <c r="I25" s="6"/>
    </row>
    <row r="26" spans="1:9" x14ac:dyDescent="0.25">
      <c r="A26" s="6"/>
      <c r="B26" s="8"/>
      <c r="C26" s="8"/>
      <c r="D26" s="8"/>
      <c r="E26" s="8"/>
      <c r="F26" s="11"/>
      <c r="G26" s="11"/>
      <c r="H26" s="10"/>
      <c r="I26" s="6"/>
    </row>
    <row r="27" spans="1:9" x14ac:dyDescent="0.25">
      <c r="A27" s="6"/>
      <c r="B27" s="100" t="s">
        <v>36</v>
      </c>
      <c r="C27" s="100"/>
      <c r="D27" s="100"/>
      <c r="E27" s="100"/>
      <c r="F27" s="100"/>
      <c r="G27" s="15"/>
      <c r="H27" s="19">
        <f>SUM(H7:H9,H12:H15,H18:H20,H23:H25)</f>
        <v>46133.032580000014</v>
      </c>
      <c r="I27" s="8"/>
    </row>
    <row r="28" spans="1:9" x14ac:dyDescent="0.25">
      <c r="A28" s="6"/>
      <c r="B28" s="6"/>
      <c r="C28" s="6"/>
      <c r="D28" s="6"/>
      <c r="E28" s="6"/>
      <c r="F28" s="6"/>
      <c r="G28" s="6"/>
      <c r="H28" s="6"/>
      <c r="I28" s="6"/>
    </row>
    <row r="29" spans="1:9" x14ac:dyDescent="0.25">
      <c r="A29" s="6"/>
      <c r="B29" s="96" t="s">
        <v>24</v>
      </c>
      <c r="C29" s="96"/>
      <c r="D29" s="96"/>
      <c r="E29" s="96"/>
      <c r="F29" s="13">
        <v>1.4999999999999999E-2</v>
      </c>
      <c r="G29" s="13"/>
      <c r="H29" s="10">
        <f>PRODUCT(H27,F29)</f>
        <v>691.99548870000012</v>
      </c>
      <c r="I29" s="6"/>
    </row>
    <row r="30" spans="1:9" x14ac:dyDescent="0.25">
      <c r="A30" s="6"/>
      <c r="B30" s="96" t="s">
        <v>25</v>
      </c>
      <c r="C30" s="96"/>
      <c r="D30" s="96"/>
      <c r="E30" s="96"/>
      <c r="F30" s="13">
        <v>0.01</v>
      </c>
      <c r="G30" s="13"/>
      <c r="H30" s="10">
        <f>PRODUCT(H27,F30)</f>
        <v>461.33032580000014</v>
      </c>
      <c r="I30" s="6"/>
    </row>
    <row r="31" spans="1:9" x14ac:dyDescent="0.25">
      <c r="A31" s="6"/>
      <c r="B31" s="96" t="s">
        <v>26</v>
      </c>
      <c r="C31" s="96"/>
      <c r="D31" s="96"/>
      <c r="E31" s="96"/>
      <c r="F31" s="13">
        <v>5.0000000000000001E-3</v>
      </c>
      <c r="G31" s="13"/>
      <c r="H31" s="10">
        <f>PRODUCT(H27,F31)</f>
        <v>230.66516290000007</v>
      </c>
      <c r="I31" s="6"/>
    </row>
    <row r="32" spans="1:9" x14ac:dyDescent="0.25">
      <c r="A32" s="6"/>
      <c r="B32" s="96" t="s">
        <v>27</v>
      </c>
      <c r="C32" s="96"/>
      <c r="D32" s="96"/>
      <c r="E32" s="96"/>
      <c r="F32" s="13">
        <v>0.01</v>
      </c>
      <c r="G32" s="13"/>
      <c r="H32" s="10">
        <f>PRODUCT(H27,F32)</f>
        <v>461.33032580000014</v>
      </c>
      <c r="I32" s="6"/>
    </row>
    <row r="33" spans="1:9" x14ac:dyDescent="0.25">
      <c r="A33" s="6"/>
      <c r="B33" s="96" t="s">
        <v>28</v>
      </c>
      <c r="C33" s="96"/>
      <c r="D33" s="96"/>
      <c r="E33" s="96"/>
      <c r="F33" s="13">
        <v>5.0000000000000001E-3</v>
      </c>
      <c r="G33" s="13"/>
      <c r="H33" s="10">
        <f>PRODUCT(H27,F33)</f>
        <v>230.66516290000007</v>
      </c>
      <c r="I33" s="6"/>
    </row>
    <row r="34" spans="1:9" x14ac:dyDescent="0.25">
      <c r="A34" s="6"/>
      <c r="B34" s="96" t="s">
        <v>29</v>
      </c>
      <c r="C34" s="96"/>
      <c r="D34" s="96"/>
      <c r="E34" s="96"/>
      <c r="F34" s="13">
        <v>5.0000000000000001E-3</v>
      </c>
      <c r="G34" s="13"/>
      <c r="H34" s="10">
        <f>PRODUCT(H27,F34)</f>
        <v>230.66516290000007</v>
      </c>
      <c r="I34" s="6"/>
    </row>
    <row r="35" spans="1:9" x14ac:dyDescent="0.25">
      <c r="A35" s="6"/>
      <c r="B35" s="96" t="s">
        <v>30</v>
      </c>
      <c r="C35" s="96"/>
      <c r="D35" s="96"/>
      <c r="E35" s="96"/>
      <c r="F35" s="13">
        <v>5.0000000000000001E-3</v>
      </c>
      <c r="G35" s="13"/>
      <c r="H35" s="10">
        <f>PRODUCT(H27,F35)</f>
        <v>230.66516290000007</v>
      </c>
      <c r="I35" s="6"/>
    </row>
    <row r="36" spans="1:9" x14ac:dyDescent="0.25">
      <c r="A36" s="6"/>
      <c r="B36" s="96" t="s">
        <v>31</v>
      </c>
      <c r="C36" s="96"/>
      <c r="D36" s="96"/>
      <c r="E36" s="96"/>
      <c r="F36" s="13">
        <v>0.05</v>
      </c>
      <c r="G36" s="13"/>
      <c r="H36" s="10">
        <f>PRODUCT(H27,F36)</f>
        <v>2306.6516290000009</v>
      </c>
      <c r="I36" s="6"/>
    </row>
    <row r="37" spans="1:9" x14ac:dyDescent="0.25">
      <c r="A37" s="6"/>
      <c r="B37" s="96" t="s">
        <v>32</v>
      </c>
      <c r="C37" s="96"/>
      <c r="D37" s="96"/>
      <c r="E37" s="96"/>
      <c r="F37" s="13">
        <v>0.1</v>
      </c>
      <c r="G37" s="13"/>
      <c r="H37" s="10">
        <f>PRODUCT(H27,F37)</f>
        <v>4613.3032580000017</v>
      </c>
      <c r="I37" s="6"/>
    </row>
    <row r="38" spans="1:9" x14ac:dyDescent="0.25">
      <c r="A38" s="9"/>
      <c r="B38" s="9"/>
      <c r="C38" s="9"/>
      <c r="D38" s="9"/>
      <c r="E38" s="9"/>
      <c r="F38" s="9"/>
      <c r="G38" s="9"/>
      <c r="H38" s="9"/>
      <c r="I38" s="9"/>
    </row>
    <row r="39" spans="1:9" x14ac:dyDescent="0.25">
      <c r="A39" s="9"/>
      <c r="B39" s="100" t="s">
        <v>37</v>
      </c>
      <c r="C39" s="100"/>
      <c r="D39" s="100"/>
      <c r="E39" s="100"/>
      <c r="F39" s="100"/>
      <c r="G39" s="15"/>
      <c r="H39" s="19">
        <f>SUM(H29:H37)</f>
        <v>9457.2716789000042</v>
      </c>
      <c r="I39" s="9"/>
    </row>
    <row r="40" spans="1:9" x14ac:dyDescent="0.25">
      <c r="A40" s="9"/>
      <c r="B40" s="9"/>
      <c r="C40" s="9"/>
      <c r="D40" s="9"/>
      <c r="E40" s="9"/>
      <c r="F40" s="9"/>
      <c r="G40" s="9"/>
      <c r="H40" s="9"/>
      <c r="I40" s="9"/>
    </row>
    <row r="41" spans="1:9" x14ac:dyDescent="0.25">
      <c r="A41" s="9"/>
      <c r="B41" s="101" t="s">
        <v>149</v>
      </c>
      <c r="C41" s="101"/>
      <c r="D41" s="101"/>
      <c r="E41" s="101"/>
      <c r="F41" s="101"/>
      <c r="G41" s="20"/>
      <c r="H41" s="21">
        <f>SUM(H27,H39)</f>
        <v>55590.304258900018</v>
      </c>
      <c r="I41" s="9"/>
    </row>
    <row r="42" spans="1:9" x14ac:dyDescent="0.25">
      <c r="A42" s="9"/>
      <c r="B42" s="9"/>
      <c r="C42" s="9"/>
      <c r="D42" s="9"/>
      <c r="E42" s="9"/>
      <c r="F42" s="9"/>
      <c r="G42" s="9"/>
      <c r="H42" s="9"/>
      <c r="I42" s="9"/>
    </row>
    <row r="43" spans="1:9" x14ac:dyDescent="0.25">
      <c r="A43" s="9"/>
      <c r="B43" s="101" t="s">
        <v>42</v>
      </c>
      <c r="C43" s="101"/>
      <c r="D43" s="101"/>
      <c r="E43" s="101"/>
      <c r="F43" s="101"/>
      <c r="G43" s="20"/>
      <c r="H43" s="21">
        <f>CEILING(H41/D3,1)</f>
        <v>5560</v>
      </c>
      <c r="I43" s="9"/>
    </row>
  </sheetData>
  <mergeCells count="20">
    <mergeCell ref="B39:F39"/>
    <mergeCell ref="B41:F41"/>
    <mergeCell ref="B43:F43"/>
    <mergeCell ref="B6:C6"/>
    <mergeCell ref="B11:C11"/>
    <mergeCell ref="B35:E35"/>
    <mergeCell ref="B36:E36"/>
    <mergeCell ref="B37:E37"/>
    <mergeCell ref="B22:C22"/>
    <mergeCell ref="B3:C3"/>
    <mergeCell ref="B17:C17"/>
    <mergeCell ref="B32:E32"/>
    <mergeCell ref="B33:E33"/>
    <mergeCell ref="B34:E34"/>
    <mergeCell ref="D11:F11"/>
    <mergeCell ref="D17:F17"/>
    <mergeCell ref="B27:F27"/>
    <mergeCell ref="B29:E29"/>
    <mergeCell ref="B30:E30"/>
    <mergeCell ref="B31:E31"/>
  </mergeCells>
  <phoneticPr fontId="1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041DF-8E94-7A44-A4FE-7CF386827BA3}">
  <dimension ref="A1:I43"/>
  <sheetViews>
    <sheetView view="pageBreakPreview" zoomScaleNormal="100" zoomScaleSheetLayoutView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11" defaultRowHeight="15.75" x14ac:dyDescent="0.25"/>
  <cols>
    <col min="1" max="1" width="12.875" customWidth="1"/>
    <col min="2" max="2" width="25.875" customWidth="1"/>
    <col min="3" max="3" width="40.875" customWidth="1"/>
    <col min="4" max="4" width="12.875" customWidth="1"/>
    <col min="6" max="6" width="12.875" customWidth="1"/>
    <col min="8" max="8" width="15.875" customWidth="1"/>
    <col min="9" max="9" width="30.875" customWidth="1"/>
  </cols>
  <sheetData>
    <row r="1" spans="1:9" x14ac:dyDescent="0.25">
      <c r="A1" s="17" t="s">
        <v>50</v>
      </c>
      <c r="B1" s="14" t="s">
        <v>55</v>
      </c>
      <c r="C1" s="14"/>
      <c r="D1" s="9"/>
      <c r="E1" s="9"/>
      <c r="F1" s="9"/>
      <c r="G1" s="9"/>
      <c r="H1" s="9"/>
      <c r="I1" s="9"/>
    </row>
    <row r="2" spans="1:9" x14ac:dyDescent="0.25">
      <c r="A2" s="6"/>
      <c r="B2" s="14" t="s">
        <v>127</v>
      </c>
      <c r="C2" s="14"/>
      <c r="D2" s="9"/>
      <c r="E2" s="9"/>
      <c r="F2" s="9"/>
      <c r="G2" s="9"/>
      <c r="H2" s="9"/>
      <c r="I2" s="9"/>
    </row>
    <row r="3" spans="1:9" x14ac:dyDescent="0.25">
      <c r="A3" s="9"/>
      <c r="B3" s="97" t="s">
        <v>41</v>
      </c>
      <c r="C3" s="97"/>
      <c r="D3" s="7">
        <v>10</v>
      </c>
      <c r="E3" s="7" t="s">
        <v>40</v>
      </c>
      <c r="F3" s="7"/>
      <c r="G3" s="7"/>
      <c r="H3" s="7"/>
      <c r="I3" s="7"/>
    </row>
    <row r="4" spans="1:9" x14ac:dyDescent="0.25">
      <c r="A4" s="9"/>
      <c r="B4" s="23"/>
      <c r="C4" s="23"/>
      <c r="D4" s="7"/>
      <c r="E4" s="7"/>
      <c r="F4" s="7"/>
      <c r="G4" s="7"/>
      <c r="H4" s="7"/>
      <c r="I4" s="7"/>
    </row>
    <row r="5" spans="1:9" x14ac:dyDescent="0.25">
      <c r="A5" s="17" t="s">
        <v>19</v>
      </c>
      <c r="B5" s="17" t="s">
        <v>108</v>
      </c>
      <c r="C5" s="17" t="s">
        <v>33</v>
      </c>
      <c r="D5" s="17" t="s">
        <v>23</v>
      </c>
      <c r="E5" s="17" t="s">
        <v>18</v>
      </c>
      <c r="F5" s="17" t="s">
        <v>49</v>
      </c>
      <c r="G5" s="17" t="s">
        <v>46</v>
      </c>
      <c r="H5" s="17" t="s">
        <v>34</v>
      </c>
      <c r="I5" s="17" t="s">
        <v>35</v>
      </c>
    </row>
    <row r="6" spans="1:9" x14ac:dyDescent="0.25">
      <c r="A6" s="17"/>
      <c r="B6" s="98" t="s">
        <v>17</v>
      </c>
      <c r="C6" s="98"/>
      <c r="D6" s="18"/>
      <c r="E6" s="18"/>
      <c r="F6" s="18"/>
      <c r="G6" s="18"/>
      <c r="H6" s="17"/>
      <c r="I6" s="17"/>
    </row>
    <row r="7" spans="1:9" x14ac:dyDescent="0.25">
      <c r="A7" s="6" t="str">
        <f>'TN SOR data - Material'!A75</f>
        <v>M-0086</v>
      </c>
      <c r="B7" s="8" t="s">
        <v>106</v>
      </c>
      <c r="C7" s="29" t="str">
        <f>VLOOKUP(A7,Table24[#All],2,FALSE)</f>
        <v>HBGS Jelly 40mm size</v>
      </c>
      <c r="D7" s="28">
        <v>9.1999999999999993</v>
      </c>
      <c r="E7" s="8" t="s">
        <v>40</v>
      </c>
      <c r="F7" s="11">
        <f>VLOOKUP(A7,'TN SOR data - Material'!A:D,4,FALSE)</f>
        <v>1362.9</v>
      </c>
      <c r="G7" s="135" t="str">
        <f>VLOOKUP(A7,Table24[],3,FALSE)</f>
        <v>Cu.M</v>
      </c>
      <c r="H7" s="10">
        <f t="shared" ref="H7:H9" si="0">PRODUCT(D7,F7)</f>
        <v>12538.68</v>
      </c>
      <c r="I7" s="6"/>
    </row>
    <row r="8" spans="1:9" x14ac:dyDescent="0.25">
      <c r="A8" s="6" t="str">
        <f>'TN SOR data - Material'!A94</f>
        <v>M-0125</v>
      </c>
      <c r="B8" s="8" t="s">
        <v>107</v>
      </c>
      <c r="C8" s="29" t="str">
        <f>VLOOKUP(A8,Table24[#All],2,FALSE)</f>
        <v>Crushed Stone Sand (Commercially called M-Sand)</v>
      </c>
      <c r="D8" s="28">
        <v>4.5999999999999996</v>
      </c>
      <c r="E8" s="8" t="s">
        <v>40</v>
      </c>
      <c r="F8" s="11">
        <f>VLOOKUP(A8,'TN SOR data - Material'!A:D,4,FALSE)</f>
        <v>1578.8</v>
      </c>
      <c r="G8" s="135" t="str">
        <f>VLOOKUP(A8,Table24[],3,FALSE)</f>
        <v>Cu.M</v>
      </c>
      <c r="H8" s="10">
        <f t="shared" si="0"/>
        <v>7262.48</v>
      </c>
      <c r="I8" s="6"/>
    </row>
    <row r="9" spans="1:9" ht="25.5" x14ac:dyDescent="0.25">
      <c r="A9" s="6" t="str">
        <f>'TN SOR data - Material'!A2</f>
        <v>M-0001</v>
      </c>
      <c r="B9" s="151" t="s">
        <v>807</v>
      </c>
      <c r="C9" s="29" t="str">
        <f>VLOOKUP(A9,Table24[#All],2,FALSE)</f>
        <v>Cement</v>
      </c>
      <c r="D9" s="28">
        <v>1.6559999999999999</v>
      </c>
      <c r="E9" s="8" t="s">
        <v>114</v>
      </c>
      <c r="F9" s="11">
        <f>VLOOKUP(A9,'TN SOR data - Material'!A:D,4,FALSE)</f>
        <v>5602.5</v>
      </c>
      <c r="G9" s="135" t="str">
        <f>VLOOKUP(A9,Table24[],3,FALSE)</f>
        <v>MT</v>
      </c>
      <c r="H9" s="10">
        <f t="shared" si="0"/>
        <v>9277.74</v>
      </c>
      <c r="I9" s="6"/>
    </row>
    <row r="10" spans="1:9" x14ac:dyDescent="0.25">
      <c r="A10" s="6"/>
      <c r="B10" s="7"/>
      <c r="C10" s="7"/>
      <c r="D10" s="8"/>
      <c r="E10" s="8"/>
      <c r="F10" s="11"/>
      <c r="G10" s="11"/>
      <c r="H10" s="10"/>
      <c r="I10" s="6"/>
    </row>
    <row r="11" spans="1:9" x14ac:dyDescent="0.25">
      <c r="A11" s="17"/>
      <c r="B11" s="98" t="s">
        <v>38</v>
      </c>
      <c r="C11" s="98"/>
      <c r="D11" s="99"/>
      <c r="E11" s="99"/>
      <c r="F11" s="99"/>
      <c r="G11" s="22"/>
      <c r="H11" s="17"/>
      <c r="I11" s="17"/>
    </row>
    <row r="12" spans="1:9" x14ac:dyDescent="0.25">
      <c r="A12" s="6" t="str">
        <f>'TN SOR data - Labour'!A26</f>
        <v>L-0029</v>
      </c>
      <c r="B12" s="8" t="s">
        <v>148</v>
      </c>
      <c r="C12" s="29" t="str">
        <f>VLOOKUP(A12,'TN SOR data - Labour'!A:D,2,FALSE)</f>
        <v>Mason for Brick Work-I Class</v>
      </c>
      <c r="D12" s="8">
        <v>0.5</v>
      </c>
      <c r="E12" s="8" t="s">
        <v>47</v>
      </c>
      <c r="F12" s="11">
        <f>VLOOKUP(A12,'TN SOR data - Labour'!A:D,4,FALSE)</f>
        <v>1174</v>
      </c>
      <c r="G12" s="135" t="str">
        <f>VLOOKUP(A12,Table1[],3,FALSE)</f>
        <v>Day</v>
      </c>
      <c r="H12" s="10">
        <f>PRODUCT(D12,F12)</f>
        <v>587</v>
      </c>
      <c r="I12" s="6"/>
    </row>
    <row r="13" spans="1:9" x14ac:dyDescent="0.25">
      <c r="A13" s="6" t="str">
        <f>'TN SOR data - Labour'!A26</f>
        <v>L-0029</v>
      </c>
      <c r="B13" s="8" t="s">
        <v>22</v>
      </c>
      <c r="C13" s="29" t="str">
        <f>VLOOKUP(A13,'TN SOR data - Labour'!A:D,2,FALSE)</f>
        <v>Mason for Brick Work-I Class</v>
      </c>
      <c r="D13" s="8">
        <v>1.5</v>
      </c>
      <c r="E13" s="8" t="s">
        <v>47</v>
      </c>
      <c r="F13" s="11">
        <f>VLOOKUP(A13,'TN SOR data - Labour'!A:D,4,FALSE)</f>
        <v>1174</v>
      </c>
      <c r="G13" s="135" t="str">
        <f>VLOOKUP(A13,Table1[],3,FALSE)</f>
        <v>Day</v>
      </c>
      <c r="H13" s="10">
        <f>PRODUCT(D13,F13)</f>
        <v>1761</v>
      </c>
      <c r="I13" s="6"/>
    </row>
    <row r="14" spans="1:9" x14ac:dyDescent="0.25">
      <c r="A14" s="6" t="str">
        <f>'TN SOR data - Labour'!A63</f>
        <v>L-0073</v>
      </c>
      <c r="B14" s="8" t="s">
        <v>44</v>
      </c>
      <c r="C14" s="29" t="str">
        <f>VLOOKUP(A14,'TN SOR data - Labour'!A:D,2,FALSE)</f>
        <v>Mazdoor Category-I</v>
      </c>
      <c r="D14" s="8">
        <v>4</v>
      </c>
      <c r="E14" s="8" t="s">
        <v>47</v>
      </c>
      <c r="F14" s="11">
        <f>VLOOKUP(A14,'TN SOR data - Labour'!A:D,4,FALSE)</f>
        <v>766</v>
      </c>
      <c r="G14" s="135" t="str">
        <f>VLOOKUP(A14,Table1[],3,FALSE)</f>
        <v>Day</v>
      </c>
      <c r="H14" s="10">
        <f t="shared" ref="H14" si="1">PRODUCT(D14,F14)</f>
        <v>3064</v>
      </c>
      <c r="I14" s="6"/>
    </row>
    <row r="15" spans="1:9" x14ac:dyDescent="0.25">
      <c r="A15" s="6" t="str">
        <f>'TN SOR data - Labour'!A85</f>
        <v>L-0098</v>
      </c>
      <c r="B15" s="8" t="s">
        <v>45</v>
      </c>
      <c r="C15" s="29" t="str">
        <f>VLOOKUP(A15,'TN SOR data - Labour'!A:D,2,FALSE)</f>
        <v>Mazdoor Category-II</v>
      </c>
      <c r="D15" s="8">
        <v>4</v>
      </c>
      <c r="E15" s="8" t="s">
        <v>47</v>
      </c>
      <c r="F15" s="11">
        <f>VLOOKUP(A15,'TN SOR data - Labour'!A:D,4,FALSE)</f>
        <v>628</v>
      </c>
      <c r="G15" s="135" t="str">
        <f>VLOOKUP(A15,Table1[],3,FALSE)</f>
        <v>Day</v>
      </c>
      <c r="H15" s="10">
        <f>PRODUCT(D15,F15)</f>
        <v>2512</v>
      </c>
      <c r="I15" s="6"/>
    </row>
    <row r="16" spans="1:9" x14ac:dyDescent="0.25">
      <c r="A16" s="6"/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17"/>
      <c r="B17" s="98" t="s">
        <v>39</v>
      </c>
      <c r="C17" s="98"/>
      <c r="D17" s="99"/>
      <c r="E17" s="99"/>
      <c r="F17" s="99"/>
      <c r="G17" s="22"/>
      <c r="H17" s="17"/>
      <c r="I17" s="17"/>
    </row>
    <row r="18" spans="1:9" x14ac:dyDescent="0.25">
      <c r="A18" s="6" t="str">
        <f>'SOR data - Equipment'!A15</f>
        <v>H-0110</v>
      </c>
      <c r="B18" s="8" t="s">
        <v>109</v>
      </c>
      <c r="C18" s="151" t="str">
        <f>VLOOKUP(A18,'SOR data - Equipment'!A:D,2,FALSE)</f>
        <v>Mixer Machine with Hopper</v>
      </c>
      <c r="D18" s="8">
        <v>1</v>
      </c>
      <c r="E18" s="8" t="s">
        <v>47</v>
      </c>
      <c r="F18" s="11">
        <f>VLOOKUP(A18,'SOR data - Equipment'!A:D,4,FALSE)</f>
        <v>1500</v>
      </c>
      <c r="G18" s="135" t="str">
        <f>VLOOKUP(A18,'SOR data - Equipment'!A:D,3,FALSE)</f>
        <v>Day</v>
      </c>
      <c r="H18" s="10">
        <f>PRODUCT(D18,F18)</f>
        <v>1500</v>
      </c>
      <c r="I18" s="6"/>
    </row>
    <row r="19" spans="1:9" ht="25.5" x14ac:dyDescent="0.25">
      <c r="A19" s="6" t="str">
        <f>'SOR data - Equipment'!A14</f>
        <v>H-0109</v>
      </c>
      <c r="B19" s="8" t="s">
        <v>110</v>
      </c>
      <c r="C19" s="151" t="str">
        <f>VLOOKUP(A19,'SOR data - Equipment'!A:D,2,FALSE)</f>
        <v>Hire Charges for Surface Vibrator or Earth Rammer including Fuel</v>
      </c>
      <c r="D19" s="8">
        <v>1</v>
      </c>
      <c r="E19" s="8" t="s">
        <v>47</v>
      </c>
      <c r="F19" s="11">
        <f>VLOOKUP(A19,'SOR data - Equipment'!A:D,4,FALSE)</f>
        <v>1000</v>
      </c>
      <c r="G19" s="135" t="str">
        <f>VLOOKUP(A19,'SOR data - Equipment'!A:D,3,FALSE)</f>
        <v>Day</v>
      </c>
      <c r="H19" s="10">
        <f>PRODUCT(D19,F19)</f>
        <v>1000</v>
      </c>
      <c r="I19" s="6"/>
    </row>
    <row r="20" spans="1:9" x14ac:dyDescent="0.25">
      <c r="A20" s="6" t="str">
        <f>'SOR data - Equipment'!A24</f>
        <v>H-0119</v>
      </c>
      <c r="B20" s="8" t="s">
        <v>111</v>
      </c>
      <c r="C20" s="151" t="str">
        <f>VLOOKUP(A20,'SOR data - Equipment'!A:D,2,FALSE)</f>
        <v>Hire charges for Concrete Formwork</v>
      </c>
      <c r="D20" s="8">
        <v>1</v>
      </c>
      <c r="E20" s="8" t="s">
        <v>48</v>
      </c>
      <c r="F20" s="11">
        <f>VLOOKUP(A20,'SOR data - Equipment'!A:D,4,FALSE)</f>
        <v>2500</v>
      </c>
      <c r="G20" s="135" t="str">
        <f>VLOOKUP(A20,'SOR data - Equipment'!A:D,3,FALSE)</f>
        <v>Day</v>
      </c>
      <c r="H20" s="10">
        <f>PRODUCT(D20,F20)</f>
        <v>2500</v>
      </c>
      <c r="I20" s="6"/>
    </row>
    <row r="21" spans="1:9" x14ac:dyDescent="0.25">
      <c r="A21" s="6"/>
      <c r="B21" s="8"/>
      <c r="C21" s="8"/>
      <c r="D21" s="8"/>
      <c r="E21" s="8"/>
      <c r="F21" s="11"/>
      <c r="G21" s="11"/>
      <c r="H21" s="10"/>
      <c r="I21" s="6"/>
    </row>
    <row r="22" spans="1:9" x14ac:dyDescent="0.25">
      <c r="A22" s="12"/>
      <c r="B22" s="98" t="s">
        <v>180</v>
      </c>
      <c r="C22" s="98"/>
      <c r="D22" s="8"/>
      <c r="E22" s="8"/>
      <c r="F22" s="11"/>
      <c r="G22" s="11"/>
      <c r="H22" s="10"/>
      <c r="I22" s="6"/>
    </row>
    <row r="23" spans="1:9" x14ac:dyDescent="0.25">
      <c r="A23" s="12"/>
      <c r="B23" s="151" t="str">
        <f>'LEAD &amp; LIFT'!A22</f>
        <v>Course Aggregate</v>
      </c>
      <c r="C23" s="8"/>
      <c r="D23" s="28">
        <f>D7</f>
        <v>9.1999999999999993</v>
      </c>
      <c r="E23" s="8" t="str">
        <f>E7</f>
        <v>Cu.M</v>
      </c>
      <c r="F23" s="11">
        <f>VLOOKUP(B23,Table13[#All],5,FALSE)</f>
        <v>307.2</v>
      </c>
      <c r="G23" s="8" t="str">
        <f>G7</f>
        <v>Cu.M</v>
      </c>
      <c r="H23" s="10">
        <f>(F23*D23)</f>
        <v>2826.24</v>
      </c>
      <c r="I23" s="6"/>
    </row>
    <row r="24" spans="1:9" x14ac:dyDescent="0.25">
      <c r="A24" s="12"/>
      <c r="B24" s="151" t="str">
        <f>'LEAD &amp; LIFT'!A23</f>
        <v>Fine Aggregate</v>
      </c>
      <c r="C24" s="8"/>
      <c r="D24" s="28">
        <f>D8</f>
        <v>4.5999999999999996</v>
      </c>
      <c r="E24" s="8" t="str">
        <f>E8</f>
        <v>Cu.M</v>
      </c>
      <c r="F24" s="11">
        <f>VLOOKUP(B24,Table13[#All],5,FALSE)</f>
        <v>350.55</v>
      </c>
      <c r="G24" s="8" t="str">
        <f>G8</f>
        <v>Cu.M</v>
      </c>
      <c r="H24" s="10">
        <f>(F24*D24)</f>
        <v>1612.53</v>
      </c>
      <c r="I24" s="6"/>
    </row>
    <row r="25" spans="1:9" x14ac:dyDescent="0.25">
      <c r="A25" s="12"/>
      <c r="B25" s="151" t="str">
        <f>'LEAD &amp; LIFT'!A20</f>
        <v>Cement</v>
      </c>
      <c r="C25" s="8"/>
      <c r="D25" s="28">
        <f>D9</f>
        <v>1.6559999999999999</v>
      </c>
      <c r="E25" s="8" t="str">
        <f>E9</f>
        <v>MT</v>
      </c>
      <c r="F25" s="11">
        <f>VLOOKUP(B25,Table13[#All],5,FALSE)</f>
        <v>376.06</v>
      </c>
      <c r="G25" s="8" t="str">
        <f>G9</f>
        <v>MT</v>
      </c>
      <c r="H25" s="10">
        <f>(F25*D25)</f>
        <v>622.75536</v>
      </c>
      <c r="I25" s="6"/>
    </row>
    <row r="26" spans="1:9" x14ac:dyDescent="0.25">
      <c r="A26" s="6"/>
      <c r="B26" s="8"/>
      <c r="C26" s="8"/>
      <c r="D26" s="8"/>
      <c r="E26" s="8"/>
      <c r="F26" s="11"/>
      <c r="G26" s="11"/>
      <c r="H26" s="10"/>
      <c r="I26" s="6"/>
    </row>
    <row r="27" spans="1:9" x14ac:dyDescent="0.25">
      <c r="A27" s="6"/>
      <c r="B27" s="100" t="s">
        <v>36</v>
      </c>
      <c r="C27" s="100"/>
      <c r="D27" s="100"/>
      <c r="E27" s="100"/>
      <c r="F27" s="100"/>
      <c r="G27" s="15"/>
      <c r="H27" s="19">
        <f>SUM(H7:H9,H12:H15,H18:H20,H23:H25)</f>
        <v>47064.425360000001</v>
      </c>
      <c r="I27" s="8"/>
    </row>
    <row r="28" spans="1:9" x14ac:dyDescent="0.25">
      <c r="A28" s="6"/>
      <c r="B28" s="6"/>
      <c r="C28" s="6"/>
      <c r="D28" s="6"/>
      <c r="E28" s="6"/>
      <c r="F28" s="6"/>
      <c r="G28" s="6"/>
      <c r="H28" s="6"/>
      <c r="I28" s="6"/>
    </row>
    <row r="29" spans="1:9" x14ac:dyDescent="0.25">
      <c r="A29" s="6"/>
      <c r="B29" s="96" t="s">
        <v>24</v>
      </c>
      <c r="C29" s="96"/>
      <c r="D29" s="96"/>
      <c r="E29" s="96"/>
      <c r="F29" s="13">
        <v>1.4999999999999999E-2</v>
      </c>
      <c r="G29" s="13"/>
      <c r="H29" s="10">
        <f>PRODUCT(H27,F29)</f>
        <v>705.96638039999993</v>
      </c>
      <c r="I29" s="6"/>
    </row>
    <row r="30" spans="1:9" x14ac:dyDescent="0.25">
      <c r="A30" s="6"/>
      <c r="B30" s="96" t="s">
        <v>25</v>
      </c>
      <c r="C30" s="96"/>
      <c r="D30" s="96"/>
      <c r="E30" s="96"/>
      <c r="F30" s="13">
        <v>0.01</v>
      </c>
      <c r="G30" s="13"/>
      <c r="H30" s="10">
        <f>PRODUCT(H27,F30)</f>
        <v>470.64425360000001</v>
      </c>
      <c r="I30" s="6"/>
    </row>
    <row r="31" spans="1:9" x14ac:dyDescent="0.25">
      <c r="A31" s="6"/>
      <c r="B31" s="96" t="s">
        <v>26</v>
      </c>
      <c r="C31" s="96"/>
      <c r="D31" s="96"/>
      <c r="E31" s="96"/>
      <c r="F31" s="13">
        <v>5.0000000000000001E-3</v>
      </c>
      <c r="G31" s="13"/>
      <c r="H31" s="10">
        <f>PRODUCT(H27,F31)</f>
        <v>235.32212680000001</v>
      </c>
      <c r="I31" s="6"/>
    </row>
    <row r="32" spans="1:9" x14ac:dyDescent="0.25">
      <c r="A32" s="6"/>
      <c r="B32" s="96" t="s">
        <v>27</v>
      </c>
      <c r="C32" s="96"/>
      <c r="D32" s="96"/>
      <c r="E32" s="96"/>
      <c r="F32" s="13">
        <v>0.01</v>
      </c>
      <c r="G32" s="13"/>
      <c r="H32" s="10">
        <f>PRODUCT(H27,F32)</f>
        <v>470.64425360000001</v>
      </c>
      <c r="I32" s="6"/>
    </row>
    <row r="33" spans="1:9" x14ac:dyDescent="0.25">
      <c r="A33" s="6"/>
      <c r="B33" s="96" t="s">
        <v>28</v>
      </c>
      <c r="C33" s="96"/>
      <c r="D33" s="96"/>
      <c r="E33" s="96"/>
      <c r="F33" s="13">
        <v>5.0000000000000001E-3</v>
      </c>
      <c r="G33" s="13"/>
      <c r="H33" s="10">
        <f>PRODUCT(H27,F33)</f>
        <v>235.32212680000001</v>
      </c>
      <c r="I33" s="6"/>
    </row>
    <row r="34" spans="1:9" x14ac:dyDescent="0.25">
      <c r="A34" s="6"/>
      <c r="B34" s="96" t="s">
        <v>29</v>
      </c>
      <c r="C34" s="96"/>
      <c r="D34" s="96"/>
      <c r="E34" s="96"/>
      <c r="F34" s="13">
        <v>5.0000000000000001E-3</v>
      </c>
      <c r="G34" s="13"/>
      <c r="H34" s="10">
        <f>PRODUCT(H27,F34)</f>
        <v>235.32212680000001</v>
      </c>
      <c r="I34" s="6"/>
    </row>
    <row r="35" spans="1:9" x14ac:dyDescent="0.25">
      <c r="A35" s="6"/>
      <c r="B35" s="96" t="s">
        <v>30</v>
      </c>
      <c r="C35" s="96"/>
      <c r="D35" s="96"/>
      <c r="E35" s="96"/>
      <c r="F35" s="13">
        <v>5.0000000000000001E-3</v>
      </c>
      <c r="G35" s="13"/>
      <c r="H35" s="10">
        <f>PRODUCT(H27,F35)</f>
        <v>235.32212680000001</v>
      </c>
      <c r="I35" s="6"/>
    </row>
    <row r="36" spans="1:9" x14ac:dyDescent="0.25">
      <c r="A36" s="6"/>
      <c r="B36" s="96" t="s">
        <v>31</v>
      </c>
      <c r="C36" s="96"/>
      <c r="D36" s="96"/>
      <c r="E36" s="96"/>
      <c r="F36" s="13">
        <v>0.05</v>
      </c>
      <c r="G36" s="13"/>
      <c r="H36" s="10">
        <f>PRODUCT(H27,F36)</f>
        <v>2353.2212680000002</v>
      </c>
      <c r="I36" s="6"/>
    </row>
    <row r="37" spans="1:9" x14ac:dyDescent="0.25">
      <c r="A37" s="6"/>
      <c r="B37" s="96" t="s">
        <v>32</v>
      </c>
      <c r="C37" s="96"/>
      <c r="D37" s="96"/>
      <c r="E37" s="96"/>
      <c r="F37" s="13">
        <v>0.1</v>
      </c>
      <c r="G37" s="13"/>
      <c r="H37" s="10">
        <f>PRODUCT(H27,F37)</f>
        <v>4706.4425360000005</v>
      </c>
      <c r="I37" s="6"/>
    </row>
    <row r="38" spans="1:9" x14ac:dyDescent="0.25">
      <c r="A38" s="9"/>
      <c r="B38" s="9"/>
      <c r="C38" s="9"/>
      <c r="D38" s="9"/>
      <c r="E38" s="9"/>
      <c r="F38" s="9"/>
      <c r="G38" s="9"/>
      <c r="H38" s="9"/>
      <c r="I38" s="9"/>
    </row>
    <row r="39" spans="1:9" x14ac:dyDescent="0.25">
      <c r="A39" s="9"/>
      <c r="B39" s="100" t="s">
        <v>37</v>
      </c>
      <c r="C39" s="100"/>
      <c r="D39" s="100"/>
      <c r="E39" s="100"/>
      <c r="F39" s="100"/>
      <c r="G39" s="15"/>
      <c r="H39" s="19">
        <f>SUM(H29:H37)</f>
        <v>9648.2071988000007</v>
      </c>
      <c r="I39" s="9"/>
    </row>
    <row r="40" spans="1:9" x14ac:dyDescent="0.25">
      <c r="A40" s="9"/>
      <c r="B40" s="9"/>
      <c r="C40" s="9"/>
      <c r="D40" s="9"/>
      <c r="E40" s="9"/>
      <c r="F40" s="9"/>
      <c r="G40" s="9"/>
      <c r="H40" s="9"/>
      <c r="I40" s="9"/>
    </row>
    <row r="41" spans="1:9" x14ac:dyDescent="0.25">
      <c r="A41" s="9"/>
      <c r="B41" s="101" t="s">
        <v>149</v>
      </c>
      <c r="C41" s="101"/>
      <c r="D41" s="101"/>
      <c r="E41" s="101"/>
      <c r="F41" s="101"/>
      <c r="G41" s="20"/>
      <c r="H41" s="21">
        <f>SUM(H27,H39)</f>
        <v>56712.632558800004</v>
      </c>
      <c r="I41" s="9"/>
    </row>
    <row r="42" spans="1:9" x14ac:dyDescent="0.25">
      <c r="A42" s="9"/>
      <c r="B42" s="9"/>
      <c r="C42" s="9"/>
      <c r="D42" s="9"/>
      <c r="E42" s="9"/>
      <c r="F42" s="9"/>
      <c r="G42" s="9"/>
      <c r="H42" s="9"/>
      <c r="I42" s="9"/>
    </row>
    <row r="43" spans="1:9" x14ac:dyDescent="0.25">
      <c r="A43" s="9"/>
      <c r="B43" s="101" t="s">
        <v>42</v>
      </c>
      <c r="C43" s="101"/>
      <c r="D43" s="101"/>
      <c r="E43" s="101"/>
      <c r="F43" s="101"/>
      <c r="G43" s="20"/>
      <c r="H43" s="21">
        <f>CEILING(H41/D3,1)</f>
        <v>5672</v>
      </c>
      <c r="I43" s="9"/>
    </row>
  </sheetData>
  <mergeCells count="20">
    <mergeCell ref="B36:E36"/>
    <mergeCell ref="B37:E37"/>
    <mergeCell ref="B39:F39"/>
    <mergeCell ref="B41:F41"/>
    <mergeCell ref="B43:F43"/>
    <mergeCell ref="B3:C3"/>
    <mergeCell ref="B17:C17"/>
    <mergeCell ref="B30:E30"/>
    <mergeCell ref="B31:E31"/>
    <mergeCell ref="B32:E32"/>
    <mergeCell ref="B22:C22"/>
    <mergeCell ref="B33:E33"/>
    <mergeCell ref="B34:E34"/>
    <mergeCell ref="B35:E35"/>
    <mergeCell ref="B6:C6"/>
    <mergeCell ref="B11:C11"/>
    <mergeCell ref="D11:F11"/>
    <mergeCell ref="D17:F17"/>
    <mergeCell ref="B27:F27"/>
    <mergeCell ref="B29:E2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D8138-6472-0E43-80C8-002D59CEF57A}">
  <dimension ref="A1:I43"/>
  <sheetViews>
    <sheetView view="pageBreakPreview" zoomScaleNormal="100" zoomScaleSheetLayoutView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11" defaultRowHeight="15.75" x14ac:dyDescent="0.25"/>
  <cols>
    <col min="1" max="1" width="12.875" customWidth="1"/>
    <col min="2" max="2" width="25.875" customWidth="1"/>
    <col min="3" max="3" width="40.875" customWidth="1"/>
    <col min="4" max="4" width="12.875" customWidth="1"/>
    <col min="6" max="6" width="12.875" customWidth="1"/>
    <col min="8" max="8" width="15.875" customWidth="1"/>
    <col min="9" max="9" width="30.875" customWidth="1"/>
  </cols>
  <sheetData>
    <row r="1" spans="1:9" x14ac:dyDescent="0.25">
      <c r="A1" s="17" t="s">
        <v>50</v>
      </c>
      <c r="B1" s="14" t="s">
        <v>56</v>
      </c>
      <c r="C1" s="14"/>
      <c r="D1" s="9"/>
      <c r="E1" s="9"/>
      <c r="F1" s="9"/>
      <c r="G1" s="9"/>
      <c r="H1" s="9"/>
      <c r="I1" s="9"/>
    </row>
    <row r="2" spans="1:9" x14ac:dyDescent="0.25">
      <c r="A2" s="6"/>
      <c r="B2" s="14" t="s">
        <v>128</v>
      </c>
      <c r="C2" s="14"/>
      <c r="D2" s="9"/>
      <c r="E2" s="9"/>
      <c r="F2" s="9"/>
      <c r="G2" s="9"/>
      <c r="H2" s="9"/>
      <c r="I2" s="9"/>
    </row>
    <row r="3" spans="1:9" x14ac:dyDescent="0.25">
      <c r="A3" s="9"/>
      <c r="B3" s="97" t="s">
        <v>41</v>
      </c>
      <c r="C3" s="97"/>
      <c r="D3" s="7">
        <v>10</v>
      </c>
      <c r="E3" s="7" t="s">
        <v>40</v>
      </c>
      <c r="F3" s="7"/>
      <c r="G3" s="7"/>
      <c r="H3" s="7"/>
      <c r="I3" s="7"/>
    </row>
    <row r="4" spans="1:9" x14ac:dyDescent="0.25">
      <c r="A4" s="9"/>
      <c r="B4" s="23"/>
      <c r="C4" s="23"/>
      <c r="D4" s="7"/>
      <c r="E4" s="7"/>
      <c r="F4" s="7"/>
      <c r="G4" s="7"/>
      <c r="H4" s="7"/>
      <c r="I4" s="7"/>
    </row>
    <row r="5" spans="1:9" x14ac:dyDescent="0.25">
      <c r="A5" s="17" t="s">
        <v>19</v>
      </c>
      <c r="B5" s="17" t="s">
        <v>108</v>
      </c>
      <c r="C5" s="17" t="s">
        <v>33</v>
      </c>
      <c r="D5" s="17" t="s">
        <v>23</v>
      </c>
      <c r="E5" s="17" t="s">
        <v>18</v>
      </c>
      <c r="F5" s="17" t="s">
        <v>49</v>
      </c>
      <c r="G5" s="17" t="s">
        <v>46</v>
      </c>
      <c r="H5" s="17" t="s">
        <v>34</v>
      </c>
      <c r="I5" s="17" t="s">
        <v>35</v>
      </c>
    </row>
    <row r="6" spans="1:9" x14ac:dyDescent="0.25">
      <c r="A6" s="17"/>
      <c r="B6" s="98" t="s">
        <v>17</v>
      </c>
      <c r="C6" s="98"/>
      <c r="D6" s="18"/>
      <c r="E6" s="18"/>
      <c r="F6" s="18"/>
      <c r="G6" s="18"/>
      <c r="H6" s="17"/>
      <c r="I6" s="17"/>
    </row>
    <row r="7" spans="1:9" x14ac:dyDescent="0.25">
      <c r="A7" s="6" t="str">
        <f>'TN SOR data - Material'!A75</f>
        <v>M-0086</v>
      </c>
      <c r="B7" s="8" t="s">
        <v>106</v>
      </c>
      <c r="C7" s="29" t="str">
        <f>VLOOKUP(A7,Table24[#All],2,FALSE)</f>
        <v>HBGS Jelly 40mm size</v>
      </c>
      <c r="D7" s="28">
        <v>9</v>
      </c>
      <c r="E7" s="8" t="s">
        <v>40</v>
      </c>
      <c r="F7" s="11">
        <f>VLOOKUP(A7,'TN SOR data - Material'!A:D,4,FALSE)</f>
        <v>1362.9</v>
      </c>
      <c r="G7" s="135" t="str">
        <f>VLOOKUP(A7,Table24[],3,FALSE)</f>
        <v>Cu.M</v>
      </c>
      <c r="H7" s="10">
        <f t="shared" ref="H7:H9" si="0">PRODUCT(D7,F7)</f>
        <v>12266.1</v>
      </c>
      <c r="I7" s="6"/>
    </row>
    <row r="8" spans="1:9" x14ac:dyDescent="0.25">
      <c r="A8" s="6" t="str">
        <f>'TN SOR data - Material'!A94</f>
        <v>M-0125</v>
      </c>
      <c r="B8" s="8" t="s">
        <v>107</v>
      </c>
      <c r="C8" s="29" t="str">
        <f>VLOOKUP(A8,Table24[#All],2,FALSE)</f>
        <v>Crushed Stone Sand (Commercially called M-Sand)</v>
      </c>
      <c r="D8" s="28">
        <v>4.5</v>
      </c>
      <c r="E8" s="8" t="s">
        <v>40</v>
      </c>
      <c r="F8" s="11">
        <f>VLOOKUP(A8,'TN SOR data - Material'!A:D,4,FALSE)</f>
        <v>1578.8</v>
      </c>
      <c r="G8" s="135" t="str">
        <f>VLOOKUP(A8,Table24[],3,FALSE)</f>
        <v>Cu.M</v>
      </c>
      <c r="H8" s="10">
        <f t="shared" si="0"/>
        <v>7104.5999999999995</v>
      </c>
      <c r="I8" s="6"/>
    </row>
    <row r="9" spans="1:9" x14ac:dyDescent="0.25">
      <c r="A9" s="6" t="str">
        <f>'TN SOR data - Material'!A2</f>
        <v>M-0001</v>
      </c>
      <c r="B9" s="151" t="s">
        <v>808</v>
      </c>
      <c r="C9" s="29" t="str">
        <f>VLOOKUP(A9,Table24[#All],2,FALSE)</f>
        <v>Cement</v>
      </c>
      <c r="D9" s="28">
        <v>2.16</v>
      </c>
      <c r="E9" s="8" t="s">
        <v>114</v>
      </c>
      <c r="F9" s="11">
        <f>VLOOKUP(A9,'TN SOR data - Material'!A:D,4,FALSE)</f>
        <v>5602.5</v>
      </c>
      <c r="G9" s="135" t="str">
        <f>VLOOKUP(A9,Table24[],3,FALSE)</f>
        <v>MT</v>
      </c>
      <c r="H9" s="10">
        <f t="shared" si="0"/>
        <v>12101.400000000001</v>
      </c>
      <c r="I9" s="6"/>
    </row>
    <row r="10" spans="1:9" x14ac:dyDescent="0.25">
      <c r="A10" s="6"/>
      <c r="B10" s="7"/>
      <c r="C10" s="7"/>
      <c r="D10" s="8"/>
      <c r="E10" s="8"/>
      <c r="F10" s="11"/>
      <c r="G10" s="11"/>
      <c r="H10" s="10"/>
      <c r="I10" s="6"/>
    </row>
    <row r="11" spans="1:9" x14ac:dyDescent="0.25">
      <c r="A11" s="17"/>
      <c r="B11" s="98" t="s">
        <v>38</v>
      </c>
      <c r="C11" s="98"/>
      <c r="D11" s="99"/>
      <c r="E11" s="99"/>
      <c r="F11" s="99"/>
      <c r="G11" s="22"/>
      <c r="H11" s="17"/>
      <c r="I11" s="17"/>
    </row>
    <row r="12" spans="1:9" x14ac:dyDescent="0.25">
      <c r="A12" s="6" t="str">
        <f>'TN SOR data - Labour'!A26</f>
        <v>L-0029</v>
      </c>
      <c r="B12" s="8" t="s">
        <v>148</v>
      </c>
      <c r="C12" s="29" t="str">
        <f>VLOOKUP(A12,'TN SOR data - Labour'!A:D,2,FALSE)</f>
        <v>Mason for Brick Work-I Class</v>
      </c>
      <c r="D12" s="8">
        <v>0.5</v>
      </c>
      <c r="E12" s="8" t="s">
        <v>47</v>
      </c>
      <c r="F12" s="11">
        <f>VLOOKUP(A12,'TN SOR data - Labour'!A:D,4,FALSE)</f>
        <v>1174</v>
      </c>
      <c r="G12" s="135" t="str">
        <f>VLOOKUP(A12,Table1[],3,FALSE)</f>
        <v>Day</v>
      </c>
      <c r="H12" s="10">
        <f>PRODUCT(D12,F12)</f>
        <v>587</v>
      </c>
      <c r="I12" s="6"/>
    </row>
    <row r="13" spans="1:9" x14ac:dyDescent="0.25">
      <c r="A13" s="6" t="str">
        <f>'TN SOR data - Labour'!A26</f>
        <v>L-0029</v>
      </c>
      <c r="B13" s="8" t="s">
        <v>22</v>
      </c>
      <c r="C13" s="29" t="str">
        <f>VLOOKUP(A13,'TN SOR data - Labour'!A:D,2,FALSE)</f>
        <v>Mason for Brick Work-I Class</v>
      </c>
      <c r="D13" s="8">
        <v>1.5</v>
      </c>
      <c r="E13" s="8" t="s">
        <v>47</v>
      </c>
      <c r="F13" s="11">
        <f>VLOOKUP(A13,'TN SOR data - Labour'!A:D,4,FALSE)</f>
        <v>1174</v>
      </c>
      <c r="G13" s="135" t="str">
        <f>VLOOKUP(A13,Table1[],3,FALSE)</f>
        <v>Day</v>
      </c>
      <c r="H13" s="10">
        <f>PRODUCT(D13,F13)</f>
        <v>1761</v>
      </c>
      <c r="I13" s="6"/>
    </row>
    <row r="14" spans="1:9" x14ac:dyDescent="0.25">
      <c r="A14" s="6" t="str">
        <f>'TN SOR data - Labour'!A63</f>
        <v>L-0073</v>
      </c>
      <c r="B14" s="8" t="s">
        <v>44</v>
      </c>
      <c r="C14" s="29" t="str">
        <f>VLOOKUP(A14,'TN SOR data - Labour'!A:D,2,FALSE)</f>
        <v>Mazdoor Category-I</v>
      </c>
      <c r="D14" s="8">
        <v>4</v>
      </c>
      <c r="E14" s="8" t="s">
        <v>47</v>
      </c>
      <c r="F14" s="11">
        <f>VLOOKUP(A14,'TN SOR data - Labour'!A:D,4,FALSE)</f>
        <v>766</v>
      </c>
      <c r="G14" s="135" t="str">
        <f>VLOOKUP(A14,Table1[],3,FALSE)</f>
        <v>Day</v>
      </c>
      <c r="H14" s="10">
        <f t="shared" ref="H14" si="1">PRODUCT(D14,F14)</f>
        <v>3064</v>
      </c>
      <c r="I14" s="6"/>
    </row>
    <row r="15" spans="1:9" x14ac:dyDescent="0.25">
      <c r="A15" s="6" t="str">
        <f>'TN SOR data - Labour'!A85</f>
        <v>L-0098</v>
      </c>
      <c r="B15" s="8" t="s">
        <v>45</v>
      </c>
      <c r="C15" s="29" t="str">
        <f>VLOOKUP(A15,'TN SOR data - Labour'!A:D,2,FALSE)</f>
        <v>Mazdoor Category-II</v>
      </c>
      <c r="D15" s="8">
        <v>4</v>
      </c>
      <c r="E15" s="8" t="s">
        <v>47</v>
      </c>
      <c r="F15" s="11">
        <f>VLOOKUP(A15,'TN SOR data - Labour'!A:D,4,FALSE)</f>
        <v>628</v>
      </c>
      <c r="G15" s="135" t="str">
        <f>VLOOKUP(A15,Table1[],3,FALSE)</f>
        <v>Day</v>
      </c>
      <c r="H15" s="10">
        <f>PRODUCT(D15,F15)</f>
        <v>2512</v>
      </c>
      <c r="I15" s="6"/>
    </row>
    <row r="16" spans="1:9" x14ac:dyDescent="0.25">
      <c r="A16" s="6"/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17"/>
      <c r="B17" s="98" t="s">
        <v>39</v>
      </c>
      <c r="C17" s="98"/>
      <c r="D17" s="99"/>
      <c r="E17" s="99"/>
      <c r="F17" s="99"/>
      <c r="G17" s="22"/>
      <c r="H17" s="17"/>
      <c r="I17" s="17"/>
    </row>
    <row r="18" spans="1:9" x14ac:dyDescent="0.25">
      <c r="A18" s="6" t="str">
        <f>'SOR data - Equipment'!A15</f>
        <v>H-0110</v>
      </c>
      <c r="B18" s="8" t="s">
        <v>109</v>
      </c>
      <c r="C18" s="151" t="str">
        <f>VLOOKUP(A18,'SOR data - Equipment'!A:D,2,FALSE)</f>
        <v>Mixer Machine with Hopper</v>
      </c>
      <c r="D18" s="8">
        <v>1</v>
      </c>
      <c r="E18" s="8" t="s">
        <v>47</v>
      </c>
      <c r="F18" s="11">
        <f>VLOOKUP(A18,'SOR data - Equipment'!A:D,4,FALSE)</f>
        <v>1500</v>
      </c>
      <c r="G18" s="135" t="str">
        <f>VLOOKUP(A18,'SOR data - Equipment'!A:D,3,FALSE)</f>
        <v>Day</v>
      </c>
      <c r="H18" s="10">
        <f>PRODUCT(D18,F18)</f>
        <v>1500</v>
      </c>
      <c r="I18" s="6"/>
    </row>
    <row r="19" spans="1:9" ht="25.5" x14ac:dyDescent="0.25">
      <c r="A19" s="6" t="str">
        <f>'SOR data - Equipment'!A14</f>
        <v>H-0109</v>
      </c>
      <c r="B19" s="8" t="s">
        <v>110</v>
      </c>
      <c r="C19" s="151" t="str">
        <f>VLOOKUP(A19,'SOR data - Equipment'!A:D,2,FALSE)</f>
        <v>Hire Charges for Surface Vibrator or Earth Rammer including Fuel</v>
      </c>
      <c r="D19" s="8">
        <v>1</v>
      </c>
      <c r="E19" s="8" t="s">
        <v>47</v>
      </c>
      <c r="F19" s="11">
        <f>VLOOKUP(A19,'SOR data - Equipment'!A:D,4,FALSE)</f>
        <v>1000</v>
      </c>
      <c r="G19" s="135" t="str">
        <f>VLOOKUP(A19,'SOR data - Equipment'!A:D,3,FALSE)</f>
        <v>Day</v>
      </c>
      <c r="H19" s="10">
        <f>PRODUCT(D19,F19)</f>
        <v>1000</v>
      </c>
      <c r="I19" s="6"/>
    </row>
    <row r="20" spans="1:9" x14ac:dyDescent="0.25">
      <c r="A20" s="6" t="str">
        <f>'SOR data - Equipment'!A24</f>
        <v>H-0119</v>
      </c>
      <c r="B20" s="8" t="s">
        <v>111</v>
      </c>
      <c r="C20" s="151" t="str">
        <f>VLOOKUP(A20,'SOR data - Equipment'!A:D,2,FALSE)</f>
        <v>Hire charges for Concrete Formwork</v>
      </c>
      <c r="D20" s="8">
        <v>1</v>
      </c>
      <c r="E20" s="8" t="s">
        <v>48</v>
      </c>
      <c r="F20" s="11">
        <f>VLOOKUP(A20,'SOR data - Equipment'!A:D,4,FALSE)</f>
        <v>2500</v>
      </c>
      <c r="G20" s="135" t="str">
        <f>VLOOKUP(A20,'SOR data - Equipment'!A:D,3,FALSE)</f>
        <v>Day</v>
      </c>
      <c r="H20" s="10">
        <f>PRODUCT(D20,F20)</f>
        <v>2500</v>
      </c>
      <c r="I20" s="6"/>
    </row>
    <row r="21" spans="1:9" x14ac:dyDescent="0.25">
      <c r="A21" s="6"/>
      <c r="B21" s="8"/>
      <c r="C21" s="8"/>
      <c r="D21" s="8"/>
      <c r="E21" s="8"/>
      <c r="F21" s="11"/>
      <c r="G21" s="11"/>
      <c r="H21" s="10"/>
      <c r="I21" s="6"/>
    </row>
    <row r="22" spans="1:9" x14ac:dyDescent="0.25">
      <c r="A22" s="12"/>
      <c r="B22" s="98" t="s">
        <v>180</v>
      </c>
      <c r="C22" s="98"/>
      <c r="D22" s="8"/>
      <c r="E22" s="8"/>
      <c r="F22" s="11"/>
      <c r="G22" s="11"/>
      <c r="H22" s="10"/>
      <c r="I22" s="6"/>
    </row>
    <row r="23" spans="1:9" x14ac:dyDescent="0.25">
      <c r="A23" s="12"/>
      <c r="B23" s="151" t="str">
        <f>'LEAD &amp; LIFT'!A22</f>
        <v>Course Aggregate</v>
      </c>
      <c r="C23" s="8"/>
      <c r="D23" s="28">
        <f>D7</f>
        <v>9</v>
      </c>
      <c r="E23" s="8" t="str">
        <f>E7</f>
        <v>Cu.M</v>
      </c>
      <c r="F23" s="11">
        <f>VLOOKUP(B23,Table13[#All],5,FALSE)</f>
        <v>307.2</v>
      </c>
      <c r="G23" s="8" t="str">
        <f>G7</f>
        <v>Cu.M</v>
      </c>
      <c r="H23" s="10">
        <f>(F23*D23)</f>
        <v>2764.7999999999997</v>
      </c>
      <c r="I23" s="6"/>
    </row>
    <row r="24" spans="1:9" x14ac:dyDescent="0.25">
      <c r="A24" s="12"/>
      <c r="B24" s="151" t="str">
        <f>'LEAD &amp; LIFT'!A23</f>
        <v>Fine Aggregate</v>
      </c>
      <c r="C24" s="8"/>
      <c r="D24" s="28">
        <f>D8</f>
        <v>4.5</v>
      </c>
      <c r="E24" s="8" t="str">
        <f>E8</f>
        <v>Cu.M</v>
      </c>
      <c r="F24" s="11">
        <f>VLOOKUP(B24,Table13[#All],5,FALSE)</f>
        <v>350.55</v>
      </c>
      <c r="G24" s="8" t="str">
        <f>G8</f>
        <v>Cu.M</v>
      </c>
      <c r="H24" s="10">
        <f>(F24*D24)</f>
        <v>1577.4750000000001</v>
      </c>
      <c r="I24" s="6"/>
    </row>
    <row r="25" spans="1:9" x14ac:dyDescent="0.25">
      <c r="A25" s="12"/>
      <c r="B25" s="151" t="str">
        <f>'LEAD &amp; LIFT'!A20</f>
        <v>Cement</v>
      </c>
      <c r="C25" s="8"/>
      <c r="D25" s="28">
        <f>D9</f>
        <v>2.16</v>
      </c>
      <c r="E25" s="8" t="str">
        <f>E9</f>
        <v>MT</v>
      </c>
      <c r="F25" s="11">
        <f>VLOOKUP(B25,Table13[#All],5,FALSE)</f>
        <v>376.06</v>
      </c>
      <c r="G25" s="8" t="str">
        <f>G9</f>
        <v>MT</v>
      </c>
      <c r="H25" s="10">
        <f>(F25*D25)</f>
        <v>812.28960000000006</v>
      </c>
      <c r="I25" s="6"/>
    </row>
    <row r="26" spans="1:9" x14ac:dyDescent="0.25">
      <c r="A26" s="6"/>
      <c r="B26" s="8"/>
      <c r="C26" s="8"/>
      <c r="D26" s="8"/>
      <c r="E26" s="8"/>
      <c r="F26" s="11"/>
      <c r="G26" s="11"/>
      <c r="H26" s="10"/>
      <c r="I26" s="6"/>
    </row>
    <row r="27" spans="1:9" x14ac:dyDescent="0.25">
      <c r="A27" s="6"/>
      <c r="B27" s="100" t="s">
        <v>36</v>
      </c>
      <c r="C27" s="100"/>
      <c r="D27" s="100"/>
      <c r="E27" s="100"/>
      <c r="F27" s="100"/>
      <c r="G27" s="15"/>
      <c r="H27" s="19">
        <f>SUM(H7:H9,H12:H15,H18:H20,H23:H25)</f>
        <v>49550.664600000004</v>
      </c>
      <c r="I27" s="8"/>
    </row>
    <row r="28" spans="1:9" x14ac:dyDescent="0.25">
      <c r="A28" s="6"/>
      <c r="B28" s="6"/>
      <c r="C28" s="6"/>
      <c r="D28" s="6"/>
      <c r="E28" s="6"/>
      <c r="F28" s="6"/>
      <c r="G28" s="6"/>
      <c r="H28" s="6"/>
      <c r="I28" s="6"/>
    </row>
    <row r="29" spans="1:9" x14ac:dyDescent="0.25">
      <c r="A29" s="6"/>
      <c r="B29" s="96" t="s">
        <v>24</v>
      </c>
      <c r="C29" s="96"/>
      <c r="D29" s="96"/>
      <c r="E29" s="96"/>
      <c r="F29" s="13">
        <v>1.4999999999999999E-2</v>
      </c>
      <c r="G29" s="13"/>
      <c r="H29" s="10">
        <f>PRODUCT(H27,F29)</f>
        <v>743.25996900000007</v>
      </c>
      <c r="I29" s="6"/>
    </row>
    <row r="30" spans="1:9" x14ac:dyDescent="0.25">
      <c r="A30" s="6"/>
      <c r="B30" s="96" t="s">
        <v>25</v>
      </c>
      <c r="C30" s="96"/>
      <c r="D30" s="96"/>
      <c r="E30" s="96"/>
      <c r="F30" s="13">
        <v>0.01</v>
      </c>
      <c r="G30" s="13"/>
      <c r="H30" s="10">
        <f>PRODUCT(H27,F30)</f>
        <v>495.50664600000005</v>
      </c>
      <c r="I30" s="6"/>
    </row>
    <row r="31" spans="1:9" x14ac:dyDescent="0.25">
      <c r="A31" s="6"/>
      <c r="B31" s="96" t="s">
        <v>26</v>
      </c>
      <c r="C31" s="96"/>
      <c r="D31" s="96"/>
      <c r="E31" s="96"/>
      <c r="F31" s="13">
        <v>5.0000000000000001E-3</v>
      </c>
      <c r="G31" s="13"/>
      <c r="H31" s="10">
        <f>PRODUCT(H27,F31)</f>
        <v>247.75332300000002</v>
      </c>
      <c r="I31" s="6"/>
    </row>
    <row r="32" spans="1:9" x14ac:dyDescent="0.25">
      <c r="A32" s="6"/>
      <c r="B32" s="96" t="s">
        <v>27</v>
      </c>
      <c r="C32" s="96"/>
      <c r="D32" s="96"/>
      <c r="E32" s="96"/>
      <c r="F32" s="13">
        <v>0.01</v>
      </c>
      <c r="G32" s="13"/>
      <c r="H32" s="10">
        <f>PRODUCT(H27,F32)</f>
        <v>495.50664600000005</v>
      </c>
      <c r="I32" s="6"/>
    </row>
    <row r="33" spans="1:9" x14ac:dyDescent="0.25">
      <c r="A33" s="6"/>
      <c r="B33" s="96" t="s">
        <v>28</v>
      </c>
      <c r="C33" s="96"/>
      <c r="D33" s="96"/>
      <c r="E33" s="96"/>
      <c r="F33" s="13">
        <v>5.0000000000000001E-3</v>
      </c>
      <c r="G33" s="13"/>
      <c r="H33" s="10">
        <f>PRODUCT(H27,F33)</f>
        <v>247.75332300000002</v>
      </c>
      <c r="I33" s="6"/>
    </row>
    <row r="34" spans="1:9" x14ac:dyDescent="0.25">
      <c r="A34" s="6"/>
      <c r="B34" s="96" t="s">
        <v>29</v>
      </c>
      <c r="C34" s="96"/>
      <c r="D34" s="96"/>
      <c r="E34" s="96"/>
      <c r="F34" s="13">
        <v>5.0000000000000001E-3</v>
      </c>
      <c r="G34" s="13"/>
      <c r="H34" s="10">
        <f>PRODUCT(H27,F34)</f>
        <v>247.75332300000002</v>
      </c>
      <c r="I34" s="6"/>
    </row>
    <row r="35" spans="1:9" x14ac:dyDescent="0.25">
      <c r="A35" s="6"/>
      <c r="B35" s="96" t="s">
        <v>30</v>
      </c>
      <c r="C35" s="96"/>
      <c r="D35" s="96"/>
      <c r="E35" s="96"/>
      <c r="F35" s="13">
        <v>5.0000000000000001E-3</v>
      </c>
      <c r="G35" s="13"/>
      <c r="H35" s="10">
        <f>PRODUCT(H27,F35)</f>
        <v>247.75332300000002</v>
      </c>
      <c r="I35" s="6"/>
    </row>
    <row r="36" spans="1:9" x14ac:dyDescent="0.25">
      <c r="A36" s="6"/>
      <c r="B36" s="96" t="s">
        <v>31</v>
      </c>
      <c r="C36" s="96"/>
      <c r="D36" s="96"/>
      <c r="E36" s="96"/>
      <c r="F36" s="13">
        <v>0.05</v>
      </c>
      <c r="G36" s="13"/>
      <c r="H36" s="10">
        <f>PRODUCT(H27,F36)</f>
        <v>2477.5332300000005</v>
      </c>
      <c r="I36" s="6"/>
    </row>
    <row r="37" spans="1:9" x14ac:dyDescent="0.25">
      <c r="A37" s="6"/>
      <c r="B37" s="96" t="s">
        <v>32</v>
      </c>
      <c r="C37" s="96"/>
      <c r="D37" s="96"/>
      <c r="E37" s="96"/>
      <c r="F37" s="13">
        <v>0.1</v>
      </c>
      <c r="G37" s="13"/>
      <c r="H37" s="10">
        <f>PRODUCT(H27,F37)</f>
        <v>4955.0664600000009</v>
      </c>
      <c r="I37" s="6"/>
    </row>
    <row r="38" spans="1:9" x14ac:dyDescent="0.25">
      <c r="A38" s="9"/>
      <c r="B38" s="9"/>
      <c r="C38" s="9"/>
      <c r="D38" s="9"/>
      <c r="E38" s="9"/>
      <c r="F38" s="9"/>
      <c r="G38" s="9"/>
      <c r="H38" s="9"/>
      <c r="I38" s="9"/>
    </row>
    <row r="39" spans="1:9" x14ac:dyDescent="0.25">
      <c r="A39" s="9"/>
      <c r="B39" s="100" t="s">
        <v>37</v>
      </c>
      <c r="C39" s="100"/>
      <c r="D39" s="100"/>
      <c r="E39" s="100"/>
      <c r="F39" s="100"/>
      <c r="G39" s="15"/>
      <c r="H39" s="19">
        <f>SUM(H29:H37)</f>
        <v>10157.886243000001</v>
      </c>
      <c r="I39" s="9"/>
    </row>
    <row r="40" spans="1:9" x14ac:dyDescent="0.25">
      <c r="A40" s="9"/>
      <c r="B40" s="9"/>
      <c r="C40" s="9"/>
      <c r="D40" s="9"/>
      <c r="E40" s="9"/>
      <c r="F40" s="9"/>
      <c r="G40" s="9"/>
      <c r="H40" s="9"/>
      <c r="I40" s="9"/>
    </row>
    <row r="41" spans="1:9" x14ac:dyDescent="0.25">
      <c r="A41" s="9"/>
      <c r="B41" s="101" t="s">
        <v>149</v>
      </c>
      <c r="C41" s="101"/>
      <c r="D41" s="101"/>
      <c r="E41" s="101"/>
      <c r="F41" s="101"/>
      <c r="G41" s="20"/>
      <c r="H41" s="21">
        <f>SUM(H27,H39)</f>
        <v>59708.550843000005</v>
      </c>
      <c r="I41" s="9"/>
    </row>
    <row r="42" spans="1:9" x14ac:dyDescent="0.25">
      <c r="A42" s="9"/>
      <c r="B42" s="9"/>
      <c r="C42" s="9"/>
      <c r="D42" s="9"/>
      <c r="E42" s="9"/>
      <c r="F42" s="9"/>
      <c r="G42" s="9"/>
      <c r="H42" s="9"/>
      <c r="I42" s="9"/>
    </row>
    <row r="43" spans="1:9" x14ac:dyDescent="0.25">
      <c r="A43" s="9"/>
      <c r="B43" s="101" t="s">
        <v>42</v>
      </c>
      <c r="C43" s="101"/>
      <c r="D43" s="101"/>
      <c r="E43" s="101"/>
      <c r="F43" s="101"/>
      <c r="G43" s="20"/>
      <c r="H43" s="21">
        <f>CEILING(H41/D3,1)</f>
        <v>5971</v>
      </c>
      <c r="I43" s="9"/>
    </row>
  </sheetData>
  <mergeCells count="20">
    <mergeCell ref="B43:F43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9:F39"/>
    <mergeCell ref="B41:F41"/>
    <mergeCell ref="B27:F27"/>
    <mergeCell ref="B17:C17"/>
    <mergeCell ref="B3:C3"/>
    <mergeCell ref="B6:C6"/>
    <mergeCell ref="B11:C11"/>
    <mergeCell ref="D11:F11"/>
    <mergeCell ref="D17:F17"/>
    <mergeCell ref="B22:C2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0E8C-DA45-FA4F-9C47-140135C1F16D}">
  <dimension ref="A1:I43"/>
  <sheetViews>
    <sheetView view="pageBreakPreview" zoomScaleNormal="75" zoomScaleSheetLayoutView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11" defaultRowHeight="15.75" x14ac:dyDescent="0.25"/>
  <cols>
    <col min="1" max="1" width="12.875" customWidth="1"/>
    <col min="2" max="2" width="25.875" customWidth="1"/>
    <col min="3" max="3" width="40.875" customWidth="1"/>
    <col min="4" max="4" width="12.875" customWidth="1"/>
    <col min="6" max="6" width="12.875" customWidth="1"/>
    <col min="8" max="8" width="15.875" customWidth="1"/>
    <col min="9" max="9" width="30.875" customWidth="1"/>
  </cols>
  <sheetData>
    <row r="1" spans="1:9" x14ac:dyDescent="0.25">
      <c r="A1" s="17" t="s">
        <v>50</v>
      </c>
      <c r="B1" s="14" t="s">
        <v>57</v>
      </c>
      <c r="C1" s="14"/>
      <c r="D1" s="9"/>
      <c r="E1" s="9"/>
      <c r="F1" s="9"/>
      <c r="G1" s="9"/>
      <c r="H1" s="9"/>
      <c r="I1" s="9"/>
    </row>
    <row r="2" spans="1:9" x14ac:dyDescent="0.25">
      <c r="A2" s="6"/>
      <c r="B2" s="14" t="s">
        <v>129</v>
      </c>
      <c r="C2" s="14"/>
      <c r="D2" s="9"/>
      <c r="E2" s="9"/>
      <c r="F2" s="9"/>
      <c r="G2" s="9"/>
      <c r="H2" s="9"/>
      <c r="I2" s="9"/>
    </row>
    <row r="3" spans="1:9" x14ac:dyDescent="0.25">
      <c r="A3" s="9"/>
      <c r="B3" s="97" t="s">
        <v>41</v>
      </c>
      <c r="C3" s="97"/>
      <c r="D3" s="7">
        <v>10</v>
      </c>
      <c r="E3" s="7" t="s">
        <v>40</v>
      </c>
      <c r="F3" s="7"/>
      <c r="G3" s="7"/>
      <c r="H3" s="7"/>
      <c r="I3" s="7"/>
    </row>
    <row r="4" spans="1:9" x14ac:dyDescent="0.25">
      <c r="A4" s="9"/>
      <c r="B4" s="23"/>
      <c r="C4" s="23"/>
      <c r="D4" s="7"/>
      <c r="E4" s="7"/>
      <c r="F4" s="7"/>
      <c r="G4" s="7"/>
      <c r="H4" s="7"/>
      <c r="I4" s="7"/>
    </row>
    <row r="5" spans="1:9" x14ac:dyDescent="0.25">
      <c r="A5" s="17" t="s">
        <v>19</v>
      </c>
      <c r="B5" s="17" t="s">
        <v>108</v>
      </c>
      <c r="C5" s="17" t="s">
        <v>33</v>
      </c>
      <c r="D5" s="17" t="s">
        <v>23</v>
      </c>
      <c r="E5" s="17" t="s">
        <v>18</v>
      </c>
      <c r="F5" s="17" t="s">
        <v>49</v>
      </c>
      <c r="G5" s="17" t="s">
        <v>46</v>
      </c>
      <c r="H5" s="17" t="s">
        <v>34</v>
      </c>
      <c r="I5" s="17" t="s">
        <v>35</v>
      </c>
    </row>
    <row r="6" spans="1:9" x14ac:dyDescent="0.25">
      <c r="A6" s="17"/>
      <c r="B6" s="98" t="s">
        <v>17</v>
      </c>
      <c r="C6" s="98"/>
      <c r="D6" s="18"/>
      <c r="E6" s="18"/>
      <c r="F6" s="18"/>
      <c r="G6" s="18"/>
      <c r="H6" s="17"/>
      <c r="I6" s="17"/>
    </row>
    <row r="7" spans="1:9" x14ac:dyDescent="0.25">
      <c r="A7" s="6" t="str">
        <f>'TN SOR data - Material'!A77</f>
        <v>M-0088</v>
      </c>
      <c r="B7" s="8" t="s">
        <v>106</v>
      </c>
      <c r="C7" s="29" t="str">
        <f>VLOOKUP(A7,Table24[#All],2,FALSE)</f>
        <v>HBGS Jelly 20mm size</v>
      </c>
      <c r="D7" s="28">
        <v>8.8000000000000007</v>
      </c>
      <c r="E7" s="8" t="s">
        <v>40</v>
      </c>
      <c r="F7" s="11">
        <f>VLOOKUP(A7,'TN SOR data - Material'!A:D,4,FALSE)</f>
        <v>1897.4</v>
      </c>
      <c r="G7" s="135" t="str">
        <f>VLOOKUP(A7,Table24[],3,FALSE)</f>
        <v>Cu.M</v>
      </c>
      <c r="H7" s="10">
        <f t="shared" ref="H7:H9" si="0">PRODUCT(D7,F7)</f>
        <v>16697.120000000003</v>
      </c>
      <c r="I7" s="6"/>
    </row>
    <row r="8" spans="1:9" x14ac:dyDescent="0.25">
      <c r="A8" s="6" t="str">
        <f>'TN SOR data - Material'!A94</f>
        <v>M-0125</v>
      </c>
      <c r="B8" s="8" t="s">
        <v>107</v>
      </c>
      <c r="C8" s="29" t="str">
        <f>VLOOKUP(A8,Table24[#All],2,FALSE)</f>
        <v>Crushed Stone Sand (Commercially called M-Sand)</v>
      </c>
      <c r="D8" s="28">
        <v>4.4000000000000004</v>
      </c>
      <c r="E8" s="8" t="s">
        <v>40</v>
      </c>
      <c r="F8" s="11">
        <f>VLOOKUP(A8,'TN SOR data - Material'!A:D,4,FALSE)</f>
        <v>1578.8</v>
      </c>
      <c r="G8" s="135" t="str">
        <f>VLOOKUP(A8,Table24[],3,FALSE)</f>
        <v>Cu.M</v>
      </c>
      <c r="H8" s="10">
        <f t="shared" si="0"/>
        <v>6946.72</v>
      </c>
      <c r="I8" s="6"/>
    </row>
    <row r="9" spans="1:9" x14ac:dyDescent="0.25">
      <c r="A9" s="6" t="str">
        <f>'TN SOR data - Material'!A2</f>
        <v>M-0001</v>
      </c>
      <c r="B9" s="151" t="s">
        <v>809</v>
      </c>
      <c r="C9" s="29" t="str">
        <f>VLOOKUP(A9,Table24[#All],2,FALSE)</f>
        <v>Cement</v>
      </c>
      <c r="D9" s="28">
        <v>3.1680000000000001</v>
      </c>
      <c r="E9" s="8" t="s">
        <v>114</v>
      </c>
      <c r="F9" s="11">
        <f>VLOOKUP(A9,'TN SOR data - Material'!A:D,4,FALSE)</f>
        <v>5602.5</v>
      </c>
      <c r="G9" s="135" t="str">
        <f>VLOOKUP(A9,Table24[],3,FALSE)</f>
        <v>MT</v>
      </c>
      <c r="H9" s="10">
        <f t="shared" si="0"/>
        <v>17748.72</v>
      </c>
      <c r="I9" s="6"/>
    </row>
    <row r="10" spans="1:9" x14ac:dyDescent="0.25">
      <c r="A10" s="6"/>
      <c r="B10" s="7"/>
      <c r="C10" s="7"/>
      <c r="D10" s="8"/>
      <c r="E10" s="8"/>
      <c r="F10" s="11"/>
      <c r="G10" s="11"/>
      <c r="H10" s="10"/>
      <c r="I10" s="6"/>
    </row>
    <row r="11" spans="1:9" x14ac:dyDescent="0.25">
      <c r="A11" s="17"/>
      <c r="B11" s="98" t="s">
        <v>38</v>
      </c>
      <c r="C11" s="98"/>
      <c r="D11" s="99"/>
      <c r="E11" s="99"/>
      <c r="F11" s="99"/>
      <c r="G11" s="22"/>
      <c r="H11" s="17"/>
      <c r="I11" s="17"/>
    </row>
    <row r="12" spans="1:9" x14ac:dyDescent="0.25">
      <c r="A12" s="6" t="str">
        <f>'TN SOR data - Labour'!A26</f>
        <v>L-0029</v>
      </c>
      <c r="B12" s="8" t="s">
        <v>148</v>
      </c>
      <c r="C12" s="29" t="str">
        <f>VLOOKUP(A12,'TN SOR data - Labour'!A:D,2,FALSE)</f>
        <v>Mason for Brick Work-I Class</v>
      </c>
      <c r="D12" s="8">
        <v>0.5</v>
      </c>
      <c r="E12" s="8" t="s">
        <v>47</v>
      </c>
      <c r="F12" s="11">
        <f>VLOOKUP(A12,'TN SOR data - Labour'!A:D,4,FALSE)</f>
        <v>1174</v>
      </c>
      <c r="G12" s="135" t="str">
        <f>VLOOKUP(A12,Table1[],3,FALSE)</f>
        <v>Day</v>
      </c>
      <c r="H12" s="10">
        <f>PRODUCT(D12,F12)</f>
        <v>587</v>
      </c>
      <c r="I12" s="6"/>
    </row>
    <row r="13" spans="1:9" x14ac:dyDescent="0.25">
      <c r="A13" s="6" t="str">
        <f>'TN SOR data - Labour'!A26</f>
        <v>L-0029</v>
      </c>
      <c r="B13" s="8" t="s">
        <v>22</v>
      </c>
      <c r="C13" s="29" t="str">
        <f>VLOOKUP(A13,'TN SOR data - Labour'!A:D,2,FALSE)</f>
        <v>Mason for Brick Work-I Class</v>
      </c>
      <c r="D13" s="8">
        <v>1.5</v>
      </c>
      <c r="E13" s="8" t="s">
        <v>47</v>
      </c>
      <c r="F13" s="11">
        <f>VLOOKUP(A13,'TN SOR data - Labour'!A:D,4,FALSE)</f>
        <v>1174</v>
      </c>
      <c r="G13" s="135" t="str">
        <f>VLOOKUP(A13,Table1[],3,FALSE)</f>
        <v>Day</v>
      </c>
      <c r="H13" s="10">
        <f>PRODUCT(D13,F13)</f>
        <v>1761</v>
      </c>
      <c r="I13" s="6"/>
    </row>
    <row r="14" spans="1:9" x14ac:dyDescent="0.25">
      <c r="A14" s="6" t="str">
        <f>'TN SOR data - Labour'!A63</f>
        <v>L-0073</v>
      </c>
      <c r="B14" s="8" t="s">
        <v>44</v>
      </c>
      <c r="C14" s="29" t="str">
        <f>VLOOKUP(A14,'TN SOR data - Labour'!A:D,2,FALSE)</f>
        <v>Mazdoor Category-I</v>
      </c>
      <c r="D14" s="8">
        <v>4</v>
      </c>
      <c r="E14" s="8" t="s">
        <v>47</v>
      </c>
      <c r="F14" s="11">
        <f>VLOOKUP(A14,'TN SOR data - Labour'!A:D,4,FALSE)</f>
        <v>766</v>
      </c>
      <c r="G14" s="135" t="str">
        <f>VLOOKUP(A14,Table1[],3,FALSE)</f>
        <v>Day</v>
      </c>
      <c r="H14" s="10">
        <f t="shared" ref="H14" si="1">PRODUCT(D14,F14)</f>
        <v>3064</v>
      </c>
      <c r="I14" s="6"/>
    </row>
    <row r="15" spans="1:9" x14ac:dyDescent="0.25">
      <c r="A15" s="6" t="str">
        <f>'TN SOR data - Labour'!A85</f>
        <v>L-0098</v>
      </c>
      <c r="B15" s="8" t="s">
        <v>45</v>
      </c>
      <c r="C15" s="29" t="str">
        <f>VLOOKUP(A15,'TN SOR data - Labour'!A:D,2,FALSE)</f>
        <v>Mazdoor Category-II</v>
      </c>
      <c r="D15" s="8">
        <v>4</v>
      </c>
      <c r="E15" s="8" t="s">
        <v>47</v>
      </c>
      <c r="F15" s="11">
        <f>VLOOKUP(A15,'TN SOR data - Labour'!A:D,4,FALSE)</f>
        <v>628</v>
      </c>
      <c r="G15" s="135" t="str">
        <f>VLOOKUP(A15,Table1[],3,FALSE)</f>
        <v>Day</v>
      </c>
      <c r="H15" s="10">
        <f>PRODUCT(D15,F15)</f>
        <v>2512</v>
      </c>
      <c r="I15" s="6"/>
    </row>
    <row r="16" spans="1:9" x14ac:dyDescent="0.25">
      <c r="A16" s="6"/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17"/>
      <c r="B17" s="98" t="s">
        <v>39</v>
      </c>
      <c r="C17" s="98"/>
      <c r="D17" s="99"/>
      <c r="E17" s="99"/>
      <c r="F17" s="99"/>
      <c r="G17" s="22"/>
      <c r="H17" s="17"/>
      <c r="I17" s="17"/>
    </row>
    <row r="18" spans="1:9" x14ac:dyDescent="0.25">
      <c r="A18" s="6" t="str">
        <f>'SOR data - Equipment'!A15</f>
        <v>H-0110</v>
      </c>
      <c r="B18" s="8" t="s">
        <v>109</v>
      </c>
      <c r="C18" s="151" t="str">
        <f>VLOOKUP(A18,'SOR data - Equipment'!A:D,2,FALSE)</f>
        <v>Mixer Machine with Hopper</v>
      </c>
      <c r="D18" s="8">
        <v>1</v>
      </c>
      <c r="E18" s="8" t="s">
        <v>47</v>
      </c>
      <c r="F18" s="11">
        <f>VLOOKUP(A18,'SOR data - Equipment'!A:D,4,FALSE)</f>
        <v>1500</v>
      </c>
      <c r="G18" s="135" t="str">
        <f>VLOOKUP(A18,'SOR data - Equipment'!A:D,3,FALSE)</f>
        <v>Day</v>
      </c>
      <c r="H18" s="10">
        <f>PRODUCT(D18,F18)</f>
        <v>1500</v>
      </c>
      <c r="I18" s="6"/>
    </row>
    <row r="19" spans="1:9" ht="25.5" x14ac:dyDescent="0.25">
      <c r="A19" s="6" t="str">
        <f>'SOR data - Equipment'!A14</f>
        <v>H-0109</v>
      </c>
      <c r="B19" s="8" t="s">
        <v>110</v>
      </c>
      <c r="C19" s="151" t="str">
        <f>VLOOKUP(A19,'SOR data - Equipment'!A:D,2,FALSE)</f>
        <v>Hire Charges for Surface Vibrator or Earth Rammer including Fuel</v>
      </c>
      <c r="D19" s="8">
        <v>1</v>
      </c>
      <c r="E19" s="8" t="s">
        <v>47</v>
      </c>
      <c r="F19" s="11">
        <f>VLOOKUP(A19,'SOR data - Equipment'!A:D,4,FALSE)</f>
        <v>1000</v>
      </c>
      <c r="G19" s="135" t="str">
        <f>VLOOKUP(A19,'SOR data - Equipment'!A:D,3,FALSE)</f>
        <v>Day</v>
      </c>
      <c r="H19" s="10">
        <f>PRODUCT(D19,F19)</f>
        <v>1000</v>
      </c>
      <c r="I19" s="6"/>
    </row>
    <row r="20" spans="1:9" x14ac:dyDescent="0.25">
      <c r="A20" s="6" t="str">
        <f>'SOR data - Equipment'!A24</f>
        <v>H-0119</v>
      </c>
      <c r="B20" s="8" t="s">
        <v>111</v>
      </c>
      <c r="C20" s="151" t="str">
        <f>VLOOKUP(A20,'SOR data - Equipment'!A:D,2,FALSE)</f>
        <v>Hire charges for Concrete Formwork</v>
      </c>
      <c r="D20" s="8">
        <v>1</v>
      </c>
      <c r="E20" s="8" t="s">
        <v>48</v>
      </c>
      <c r="F20" s="11">
        <f>VLOOKUP(A20,'SOR data - Equipment'!A:D,4,FALSE)</f>
        <v>2500</v>
      </c>
      <c r="G20" s="135" t="str">
        <f>VLOOKUP(A20,'SOR data - Equipment'!A:D,3,FALSE)</f>
        <v>Day</v>
      </c>
      <c r="H20" s="10">
        <f>PRODUCT(D20,F20)</f>
        <v>2500</v>
      </c>
      <c r="I20" s="6"/>
    </row>
    <row r="21" spans="1:9" x14ac:dyDescent="0.25">
      <c r="A21" s="6"/>
      <c r="B21" s="8"/>
      <c r="C21" s="8"/>
      <c r="D21" s="8"/>
      <c r="E21" s="8"/>
      <c r="F21" s="11"/>
      <c r="G21" s="11"/>
      <c r="H21" s="10"/>
      <c r="I21" s="6"/>
    </row>
    <row r="22" spans="1:9" x14ac:dyDescent="0.25">
      <c r="A22" s="12"/>
      <c r="B22" s="98" t="s">
        <v>180</v>
      </c>
      <c r="C22" s="98"/>
      <c r="D22" s="8"/>
      <c r="E22" s="8"/>
      <c r="F22" s="11"/>
      <c r="G22" s="11"/>
      <c r="H22" s="10"/>
      <c r="I22" s="6"/>
    </row>
    <row r="23" spans="1:9" x14ac:dyDescent="0.25">
      <c r="A23" s="12"/>
      <c r="B23" s="151" t="str">
        <f>'LEAD &amp; LIFT'!A22</f>
        <v>Course Aggregate</v>
      </c>
      <c r="C23" s="8"/>
      <c r="D23" s="28">
        <f>D7</f>
        <v>8.8000000000000007</v>
      </c>
      <c r="E23" s="8" t="str">
        <f>E7</f>
        <v>Cu.M</v>
      </c>
      <c r="F23" s="11">
        <f>VLOOKUP(B23,Table13[#All],5,FALSE)</f>
        <v>307.2</v>
      </c>
      <c r="G23" s="8" t="str">
        <f>G7</f>
        <v>Cu.M</v>
      </c>
      <c r="H23" s="10">
        <f>(F23*D23)</f>
        <v>2703.36</v>
      </c>
      <c r="I23" s="6"/>
    </row>
    <row r="24" spans="1:9" x14ac:dyDescent="0.25">
      <c r="A24" s="12"/>
      <c r="B24" s="151" t="str">
        <f>'LEAD &amp; LIFT'!A23</f>
        <v>Fine Aggregate</v>
      </c>
      <c r="C24" s="8"/>
      <c r="D24" s="28">
        <f>D8</f>
        <v>4.4000000000000004</v>
      </c>
      <c r="E24" s="8" t="str">
        <f>E8</f>
        <v>Cu.M</v>
      </c>
      <c r="F24" s="11">
        <f>VLOOKUP(B24,Table13[#All],5,FALSE)</f>
        <v>350.55</v>
      </c>
      <c r="G24" s="8" t="str">
        <f>G8</f>
        <v>Cu.M</v>
      </c>
      <c r="H24" s="10">
        <f>(F24*D24)</f>
        <v>1542.42</v>
      </c>
      <c r="I24" s="6"/>
    </row>
    <row r="25" spans="1:9" x14ac:dyDescent="0.25">
      <c r="A25" s="12"/>
      <c r="B25" s="151" t="str">
        <f>'LEAD &amp; LIFT'!A20</f>
        <v>Cement</v>
      </c>
      <c r="C25" s="8"/>
      <c r="D25" s="28">
        <f>D9</f>
        <v>3.1680000000000001</v>
      </c>
      <c r="E25" s="8" t="str">
        <f>E9</f>
        <v>MT</v>
      </c>
      <c r="F25" s="11">
        <f>VLOOKUP(B25,Table13[#All],5,FALSE)</f>
        <v>376.06</v>
      </c>
      <c r="G25" s="8" t="str">
        <f>G9</f>
        <v>MT</v>
      </c>
      <c r="H25" s="10">
        <f>(F25*D25)</f>
        <v>1191.35808</v>
      </c>
      <c r="I25" s="6"/>
    </row>
    <row r="26" spans="1:9" x14ac:dyDescent="0.25">
      <c r="A26" s="6"/>
      <c r="B26" s="8"/>
      <c r="C26" s="8"/>
      <c r="D26" s="8"/>
      <c r="E26" s="8"/>
      <c r="F26" s="11"/>
      <c r="G26" s="11"/>
      <c r="H26" s="10"/>
      <c r="I26" s="6"/>
    </row>
    <row r="27" spans="1:9" x14ac:dyDescent="0.25">
      <c r="A27" s="6"/>
      <c r="B27" s="100" t="s">
        <v>36</v>
      </c>
      <c r="C27" s="100"/>
      <c r="D27" s="100"/>
      <c r="E27" s="100"/>
      <c r="F27" s="100"/>
      <c r="G27" s="15"/>
      <c r="H27" s="19">
        <f>SUM(H7:H9,H12:H15,H18:H20,H23:H25)</f>
        <v>59753.698080000002</v>
      </c>
      <c r="I27" s="8"/>
    </row>
    <row r="28" spans="1:9" x14ac:dyDescent="0.25">
      <c r="A28" s="6"/>
      <c r="B28" s="6"/>
      <c r="C28" s="6"/>
      <c r="D28" s="6"/>
      <c r="E28" s="6"/>
      <c r="F28" s="6"/>
      <c r="G28" s="6"/>
      <c r="H28" s="6"/>
      <c r="I28" s="6"/>
    </row>
    <row r="29" spans="1:9" x14ac:dyDescent="0.25">
      <c r="A29" s="6"/>
      <c r="B29" s="96" t="s">
        <v>24</v>
      </c>
      <c r="C29" s="96"/>
      <c r="D29" s="96"/>
      <c r="E29" s="96"/>
      <c r="F29" s="13">
        <v>1.4999999999999999E-2</v>
      </c>
      <c r="G29" s="13"/>
      <c r="H29" s="10">
        <f>PRODUCT(H27,F29)</f>
        <v>896.30547119999994</v>
      </c>
      <c r="I29" s="6"/>
    </row>
    <row r="30" spans="1:9" x14ac:dyDescent="0.25">
      <c r="A30" s="6"/>
      <c r="B30" s="96" t="s">
        <v>25</v>
      </c>
      <c r="C30" s="96"/>
      <c r="D30" s="96"/>
      <c r="E30" s="96"/>
      <c r="F30" s="13">
        <v>0.01</v>
      </c>
      <c r="G30" s="13"/>
      <c r="H30" s="10">
        <f>PRODUCT(H27,F30)</f>
        <v>597.53698080000004</v>
      </c>
      <c r="I30" s="6"/>
    </row>
    <row r="31" spans="1:9" x14ac:dyDescent="0.25">
      <c r="A31" s="6"/>
      <c r="B31" s="96" t="s">
        <v>26</v>
      </c>
      <c r="C31" s="96"/>
      <c r="D31" s="96"/>
      <c r="E31" s="96"/>
      <c r="F31" s="13">
        <v>5.0000000000000001E-3</v>
      </c>
      <c r="G31" s="13"/>
      <c r="H31" s="10">
        <f>PRODUCT(H27,F31)</f>
        <v>298.76849040000002</v>
      </c>
      <c r="I31" s="6"/>
    </row>
    <row r="32" spans="1:9" x14ac:dyDescent="0.25">
      <c r="A32" s="6"/>
      <c r="B32" s="96" t="s">
        <v>27</v>
      </c>
      <c r="C32" s="96"/>
      <c r="D32" s="96"/>
      <c r="E32" s="96"/>
      <c r="F32" s="13">
        <v>0.01</v>
      </c>
      <c r="G32" s="13"/>
      <c r="H32" s="10">
        <f>PRODUCT(H27,F32)</f>
        <v>597.53698080000004</v>
      </c>
      <c r="I32" s="6"/>
    </row>
    <row r="33" spans="1:9" x14ac:dyDescent="0.25">
      <c r="A33" s="6"/>
      <c r="B33" s="96" t="s">
        <v>28</v>
      </c>
      <c r="C33" s="96"/>
      <c r="D33" s="96"/>
      <c r="E33" s="96"/>
      <c r="F33" s="13">
        <v>5.0000000000000001E-3</v>
      </c>
      <c r="G33" s="13"/>
      <c r="H33" s="10">
        <f>PRODUCT(H27,F33)</f>
        <v>298.76849040000002</v>
      </c>
      <c r="I33" s="6"/>
    </row>
    <row r="34" spans="1:9" x14ac:dyDescent="0.25">
      <c r="A34" s="6"/>
      <c r="B34" s="96" t="s">
        <v>29</v>
      </c>
      <c r="C34" s="96"/>
      <c r="D34" s="96"/>
      <c r="E34" s="96"/>
      <c r="F34" s="13">
        <v>5.0000000000000001E-3</v>
      </c>
      <c r="G34" s="13"/>
      <c r="H34" s="10">
        <f>PRODUCT(H27,F34)</f>
        <v>298.76849040000002</v>
      </c>
      <c r="I34" s="6"/>
    </row>
    <row r="35" spans="1:9" x14ac:dyDescent="0.25">
      <c r="A35" s="6"/>
      <c r="B35" s="96" t="s">
        <v>30</v>
      </c>
      <c r="C35" s="96"/>
      <c r="D35" s="96"/>
      <c r="E35" s="96"/>
      <c r="F35" s="13">
        <v>5.0000000000000001E-3</v>
      </c>
      <c r="G35" s="13"/>
      <c r="H35" s="10">
        <f>PRODUCT(H27,F35)</f>
        <v>298.76849040000002</v>
      </c>
      <c r="I35" s="6"/>
    </row>
    <row r="36" spans="1:9" x14ac:dyDescent="0.25">
      <c r="A36" s="6"/>
      <c r="B36" s="96" t="s">
        <v>31</v>
      </c>
      <c r="C36" s="96"/>
      <c r="D36" s="96"/>
      <c r="E36" s="96"/>
      <c r="F36" s="13">
        <v>0.05</v>
      </c>
      <c r="G36" s="13"/>
      <c r="H36" s="10">
        <f>PRODUCT(H27,F36)</f>
        <v>2987.6849040000002</v>
      </c>
      <c r="I36" s="6"/>
    </row>
    <row r="37" spans="1:9" x14ac:dyDescent="0.25">
      <c r="A37" s="6"/>
      <c r="B37" s="96" t="s">
        <v>32</v>
      </c>
      <c r="C37" s="96"/>
      <c r="D37" s="96"/>
      <c r="E37" s="96"/>
      <c r="F37" s="13">
        <v>0.1</v>
      </c>
      <c r="G37" s="13"/>
      <c r="H37" s="10">
        <f>PRODUCT(H27,F37)</f>
        <v>5975.3698080000004</v>
      </c>
      <c r="I37" s="6"/>
    </row>
    <row r="38" spans="1:9" x14ac:dyDescent="0.25">
      <c r="A38" s="9"/>
      <c r="B38" s="9"/>
      <c r="C38" s="9"/>
      <c r="D38" s="9"/>
      <c r="E38" s="9"/>
      <c r="F38" s="9"/>
      <c r="G38" s="9"/>
      <c r="H38" s="9"/>
      <c r="I38" s="9"/>
    </row>
    <row r="39" spans="1:9" x14ac:dyDescent="0.25">
      <c r="A39" s="9"/>
      <c r="B39" s="100" t="s">
        <v>37</v>
      </c>
      <c r="C39" s="100"/>
      <c r="D39" s="100"/>
      <c r="E39" s="100"/>
      <c r="F39" s="100"/>
      <c r="G39" s="15"/>
      <c r="H39" s="19">
        <f>SUM(H29:H37)</f>
        <v>12249.508106400001</v>
      </c>
      <c r="I39" s="9"/>
    </row>
    <row r="40" spans="1:9" x14ac:dyDescent="0.25">
      <c r="A40" s="9"/>
      <c r="B40" s="9"/>
      <c r="C40" s="9"/>
      <c r="D40" s="9"/>
      <c r="E40" s="9"/>
      <c r="F40" s="9"/>
      <c r="G40" s="9"/>
      <c r="H40" s="9"/>
      <c r="I40" s="9"/>
    </row>
    <row r="41" spans="1:9" x14ac:dyDescent="0.25">
      <c r="A41" s="9"/>
      <c r="B41" s="101" t="s">
        <v>149</v>
      </c>
      <c r="C41" s="101"/>
      <c r="D41" s="101"/>
      <c r="E41" s="101"/>
      <c r="F41" s="101"/>
      <c r="G41" s="20"/>
      <c r="H41" s="21">
        <f>SUM(H27,H39)</f>
        <v>72003.206186399999</v>
      </c>
      <c r="I41" s="9"/>
    </row>
    <row r="42" spans="1:9" x14ac:dyDescent="0.25">
      <c r="A42" s="9"/>
      <c r="B42" s="9"/>
      <c r="C42" s="9"/>
      <c r="D42" s="9"/>
      <c r="E42" s="9"/>
      <c r="F42" s="9"/>
      <c r="G42" s="9"/>
      <c r="H42" s="9"/>
      <c r="I42" s="9"/>
    </row>
    <row r="43" spans="1:9" x14ac:dyDescent="0.25">
      <c r="A43" s="9"/>
      <c r="B43" s="101" t="s">
        <v>42</v>
      </c>
      <c r="C43" s="101"/>
      <c r="D43" s="101"/>
      <c r="E43" s="101"/>
      <c r="F43" s="101"/>
      <c r="G43" s="20"/>
      <c r="H43" s="21">
        <f>CEILING(H41/D3,1)</f>
        <v>7201</v>
      </c>
      <c r="I43" s="9"/>
    </row>
  </sheetData>
  <mergeCells count="20">
    <mergeCell ref="B43:F43"/>
    <mergeCell ref="B34:E34"/>
    <mergeCell ref="B35:E35"/>
    <mergeCell ref="B36:E36"/>
    <mergeCell ref="B37:E37"/>
    <mergeCell ref="B39:F39"/>
    <mergeCell ref="B41:F41"/>
    <mergeCell ref="B33:E33"/>
    <mergeCell ref="B3:C3"/>
    <mergeCell ref="B6:C6"/>
    <mergeCell ref="B11:C11"/>
    <mergeCell ref="D11:F11"/>
    <mergeCell ref="B17:C17"/>
    <mergeCell ref="D17:F17"/>
    <mergeCell ref="B27:F27"/>
    <mergeCell ref="B29:E29"/>
    <mergeCell ref="B30:E30"/>
    <mergeCell ref="B31:E31"/>
    <mergeCell ref="B32:E32"/>
    <mergeCell ref="B22:C2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53E6A-2D2E-FD45-960A-206879E72986}">
  <dimension ref="A1:I43"/>
  <sheetViews>
    <sheetView view="pageBreakPreview" zoomScaleNormal="100" zoomScaleSheetLayoutView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11" defaultRowHeight="15.75" x14ac:dyDescent="0.25"/>
  <cols>
    <col min="1" max="1" width="12.875" customWidth="1"/>
    <col min="2" max="2" width="25.875" customWidth="1"/>
    <col min="3" max="3" width="40.875" customWidth="1"/>
    <col min="4" max="4" width="12.875" customWidth="1"/>
    <col min="6" max="6" width="12.875" customWidth="1"/>
    <col min="8" max="8" width="15.875" customWidth="1"/>
    <col min="9" max="9" width="30.875" customWidth="1"/>
  </cols>
  <sheetData>
    <row r="1" spans="1:9" x14ac:dyDescent="0.25">
      <c r="A1" s="17" t="s">
        <v>50</v>
      </c>
      <c r="B1" s="14" t="s">
        <v>58</v>
      </c>
      <c r="C1" s="14"/>
      <c r="D1" s="9"/>
      <c r="E1" s="9"/>
      <c r="F1" s="9"/>
      <c r="G1" s="9"/>
      <c r="H1" s="9"/>
      <c r="I1" s="9"/>
    </row>
    <row r="2" spans="1:9" x14ac:dyDescent="0.25">
      <c r="A2" s="6"/>
      <c r="B2" s="14" t="s">
        <v>130</v>
      </c>
      <c r="C2" s="14"/>
      <c r="D2" s="9"/>
      <c r="E2" s="9"/>
      <c r="F2" s="9"/>
      <c r="G2" s="9"/>
      <c r="H2" s="9"/>
      <c r="I2" s="9"/>
    </row>
    <row r="3" spans="1:9" x14ac:dyDescent="0.25">
      <c r="A3" s="9"/>
      <c r="B3" s="97" t="s">
        <v>41</v>
      </c>
      <c r="C3" s="97"/>
      <c r="D3" s="7">
        <v>10</v>
      </c>
      <c r="E3" s="7" t="s">
        <v>40</v>
      </c>
      <c r="F3" s="7"/>
      <c r="G3" s="7"/>
      <c r="H3" s="7"/>
      <c r="I3" s="7"/>
    </row>
    <row r="4" spans="1:9" x14ac:dyDescent="0.25">
      <c r="A4" s="9"/>
      <c r="B4" s="23"/>
      <c r="C4" s="23"/>
      <c r="D4" s="7"/>
      <c r="E4" s="7"/>
      <c r="F4" s="7"/>
      <c r="G4" s="7"/>
      <c r="H4" s="7"/>
      <c r="I4" s="7"/>
    </row>
    <row r="5" spans="1:9" x14ac:dyDescent="0.25">
      <c r="A5" s="17" t="s">
        <v>19</v>
      </c>
      <c r="B5" s="17" t="s">
        <v>108</v>
      </c>
      <c r="C5" s="17" t="s">
        <v>33</v>
      </c>
      <c r="D5" s="17" t="s">
        <v>23</v>
      </c>
      <c r="E5" s="17" t="s">
        <v>18</v>
      </c>
      <c r="F5" s="17" t="s">
        <v>49</v>
      </c>
      <c r="G5" s="17" t="s">
        <v>46</v>
      </c>
      <c r="H5" s="17" t="s">
        <v>34</v>
      </c>
      <c r="I5" s="17" t="s">
        <v>35</v>
      </c>
    </row>
    <row r="6" spans="1:9" x14ac:dyDescent="0.25">
      <c r="A6" s="17"/>
      <c r="B6" s="98" t="s">
        <v>17</v>
      </c>
      <c r="C6" s="98"/>
      <c r="D6" s="18"/>
      <c r="E6" s="18"/>
      <c r="F6" s="18"/>
      <c r="G6" s="18"/>
      <c r="H6" s="17"/>
      <c r="I6" s="17"/>
    </row>
    <row r="7" spans="1:9" x14ac:dyDescent="0.25">
      <c r="A7" s="6" t="str">
        <f>'TN SOR data - Material'!A77</f>
        <v>M-0088</v>
      </c>
      <c r="B7" s="8" t="s">
        <v>106</v>
      </c>
      <c r="C7" s="29" t="str">
        <f>VLOOKUP(A7,Table24[#All],2,FALSE)</f>
        <v>HBGS Jelly 20mm size</v>
      </c>
      <c r="D7" s="28">
        <v>8.4</v>
      </c>
      <c r="E7" s="8" t="s">
        <v>40</v>
      </c>
      <c r="F7" s="11">
        <f>VLOOKUP(A7,'TN SOR data - Material'!A:D,4,FALSE)</f>
        <v>1897.4</v>
      </c>
      <c r="G7" s="135" t="str">
        <f>VLOOKUP(A7,Table24[],3,FALSE)</f>
        <v>Cu.M</v>
      </c>
      <c r="H7" s="10">
        <f t="shared" ref="H7:H9" si="0">PRODUCT(D7,F7)</f>
        <v>15938.160000000002</v>
      </c>
      <c r="I7" s="6"/>
    </row>
    <row r="8" spans="1:9" x14ac:dyDescent="0.25">
      <c r="A8" s="6" t="str">
        <f>'TN SOR data - Material'!A94</f>
        <v>M-0125</v>
      </c>
      <c r="B8" s="8" t="s">
        <v>107</v>
      </c>
      <c r="C8" s="29" t="str">
        <f>VLOOKUP(A8,Table24[#All],2,FALSE)</f>
        <v>Crushed Stone Sand (Commercially called M-Sand)</v>
      </c>
      <c r="D8" s="28">
        <v>4.2</v>
      </c>
      <c r="E8" s="8" t="s">
        <v>40</v>
      </c>
      <c r="F8" s="11">
        <f>VLOOKUP(A8,'TN SOR data - Material'!A:D,4,FALSE)</f>
        <v>1578.8</v>
      </c>
      <c r="G8" s="135" t="str">
        <f>VLOOKUP(A8,Table24[],3,FALSE)</f>
        <v>Cu.M</v>
      </c>
      <c r="H8" s="10">
        <f t="shared" si="0"/>
        <v>6630.96</v>
      </c>
      <c r="I8" s="6"/>
    </row>
    <row r="9" spans="1:9" x14ac:dyDescent="0.25">
      <c r="A9" s="6" t="str">
        <f>'TN SOR data - Material'!A2</f>
        <v>M-0001</v>
      </c>
      <c r="B9" s="151" t="s">
        <v>810</v>
      </c>
      <c r="C9" s="29" t="str">
        <f>VLOOKUP(A9,Table24[#All],2,FALSE)</f>
        <v>Cement</v>
      </c>
      <c r="D9" s="28">
        <v>4.032</v>
      </c>
      <c r="E9" s="8" t="s">
        <v>114</v>
      </c>
      <c r="F9" s="11">
        <f>VLOOKUP(A9,'TN SOR data - Material'!A:D,4,FALSE)</f>
        <v>5602.5</v>
      </c>
      <c r="G9" s="135" t="str">
        <f>VLOOKUP(A9,Table24[],3,FALSE)</f>
        <v>MT</v>
      </c>
      <c r="H9" s="10">
        <f t="shared" si="0"/>
        <v>22589.279999999999</v>
      </c>
      <c r="I9" s="6"/>
    </row>
    <row r="10" spans="1:9" x14ac:dyDescent="0.25">
      <c r="A10" s="6"/>
      <c r="B10" s="7"/>
      <c r="C10" s="7"/>
      <c r="D10" s="8"/>
      <c r="E10" s="8"/>
      <c r="F10" s="11"/>
      <c r="G10" s="11"/>
      <c r="H10" s="10"/>
      <c r="I10" s="6"/>
    </row>
    <row r="11" spans="1:9" x14ac:dyDescent="0.25">
      <c r="A11" s="17"/>
      <c r="B11" s="98" t="s">
        <v>38</v>
      </c>
      <c r="C11" s="98"/>
      <c r="D11" s="99"/>
      <c r="E11" s="99"/>
      <c r="F11" s="99"/>
      <c r="G11" s="22"/>
      <c r="H11" s="17"/>
      <c r="I11" s="17"/>
    </row>
    <row r="12" spans="1:9" x14ac:dyDescent="0.25">
      <c r="A12" s="6" t="str">
        <f>'TN SOR data - Labour'!A26</f>
        <v>L-0029</v>
      </c>
      <c r="B12" s="8" t="s">
        <v>148</v>
      </c>
      <c r="C12" s="29" t="str">
        <f>VLOOKUP(A12,'TN SOR data - Labour'!A:D,2,FALSE)</f>
        <v>Mason for Brick Work-I Class</v>
      </c>
      <c r="D12" s="8">
        <v>0.5</v>
      </c>
      <c r="E12" s="8" t="s">
        <v>47</v>
      </c>
      <c r="F12" s="11">
        <f>VLOOKUP(A12,'TN SOR data - Labour'!A:D,4,FALSE)</f>
        <v>1174</v>
      </c>
      <c r="G12" s="135" t="str">
        <f>VLOOKUP(A12,Table1[],3,FALSE)</f>
        <v>Day</v>
      </c>
      <c r="H12" s="10">
        <f>PRODUCT(D12,F12)</f>
        <v>587</v>
      </c>
      <c r="I12" s="6"/>
    </row>
    <row r="13" spans="1:9" x14ac:dyDescent="0.25">
      <c r="A13" s="6" t="str">
        <f>'TN SOR data - Labour'!A26</f>
        <v>L-0029</v>
      </c>
      <c r="B13" s="8" t="s">
        <v>22</v>
      </c>
      <c r="C13" s="29" t="str">
        <f>VLOOKUP(A13,'TN SOR data - Labour'!A:D,2,FALSE)</f>
        <v>Mason for Brick Work-I Class</v>
      </c>
      <c r="D13" s="8">
        <v>1.5</v>
      </c>
      <c r="E13" s="8" t="s">
        <v>47</v>
      </c>
      <c r="F13" s="11">
        <f>VLOOKUP(A13,'TN SOR data - Labour'!A:D,4,FALSE)</f>
        <v>1174</v>
      </c>
      <c r="G13" s="135" t="str">
        <f>VLOOKUP(A13,Table1[],3,FALSE)</f>
        <v>Day</v>
      </c>
      <c r="H13" s="10">
        <f>PRODUCT(D13,F13)</f>
        <v>1761</v>
      </c>
      <c r="I13" s="6"/>
    </row>
    <row r="14" spans="1:9" x14ac:dyDescent="0.25">
      <c r="A14" s="6" t="str">
        <f>'TN SOR data - Labour'!A63</f>
        <v>L-0073</v>
      </c>
      <c r="B14" s="8" t="s">
        <v>44</v>
      </c>
      <c r="C14" s="29" t="str">
        <f>VLOOKUP(A14,'TN SOR data - Labour'!A:D,2,FALSE)</f>
        <v>Mazdoor Category-I</v>
      </c>
      <c r="D14" s="8">
        <v>4</v>
      </c>
      <c r="E14" s="8" t="s">
        <v>47</v>
      </c>
      <c r="F14" s="11">
        <f>VLOOKUP(A14,'TN SOR data - Labour'!A:D,4,FALSE)</f>
        <v>766</v>
      </c>
      <c r="G14" s="135" t="str">
        <f>VLOOKUP(A14,Table1[],3,FALSE)</f>
        <v>Day</v>
      </c>
      <c r="H14" s="10">
        <f t="shared" ref="H14" si="1">PRODUCT(D14,F14)</f>
        <v>3064</v>
      </c>
      <c r="I14" s="6"/>
    </row>
    <row r="15" spans="1:9" x14ac:dyDescent="0.25">
      <c r="A15" s="6" t="str">
        <f>'TN SOR data - Labour'!A85</f>
        <v>L-0098</v>
      </c>
      <c r="B15" s="8" t="s">
        <v>45</v>
      </c>
      <c r="C15" s="29" t="str">
        <f>VLOOKUP(A15,'TN SOR data - Labour'!A:D,2,FALSE)</f>
        <v>Mazdoor Category-II</v>
      </c>
      <c r="D15" s="8">
        <v>4</v>
      </c>
      <c r="E15" s="8" t="s">
        <v>47</v>
      </c>
      <c r="F15" s="11">
        <f>VLOOKUP(A15,'TN SOR data - Labour'!A:D,4,FALSE)</f>
        <v>628</v>
      </c>
      <c r="G15" s="135" t="str">
        <f>VLOOKUP(A15,Table1[],3,FALSE)</f>
        <v>Day</v>
      </c>
      <c r="H15" s="10">
        <f>PRODUCT(D15,F15)</f>
        <v>2512</v>
      </c>
      <c r="I15" s="6"/>
    </row>
    <row r="16" spans="1:9" x14ac:dyDescent="0.25">
      <c r="A16" s="6"/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17"/>
      <c r="B17" s="98" t="s">
        <v>39</v>
      </c>
      <c r="C17" s="98"/>
      <c r="D17" s="99"/>
      <c r="E17" s="99"/>
      <c r="F17" s="99"/>
      <c r="G17" s="22"/>
      <c r="H17" s="17"/>
      <c r="I17" s="17"/>
    </row>
    <row r="18" spans="1:9" x14ac:dyDescent="0.25">
      <c r="A18" s="6" t="str">
        <f>'SOR data - Equipment'!A15</f>
        <v>H-0110</v>
      </c>
      <c r="B18" s="8" t="s">
        <v>109</v>
      </c>
      <c r="C18" s="151" t="str">
        <f>VLOOKUP(A18,'SOR data - Equipment'!A:D,2,FALSE)</f>
        <v>Mixer Machine with Hopper</v>
      </c>
      <c r="D18" s="8">
        <v>1</v>
      </c>
      <c r="E18" s="8" t="s">
        <v>47</v>
      </c>
      <c r="F18" s="11">
        <f>VLOOKUP(A18,'SOR data - Equipment'!A:D,4,FALSE)</f>
        <v>1500</v>
      </c>
      <c r="G18" s="135" t="str">
        <f>VLOOKUP(A18,'SOR data - Equipment'!A:D,3,FALSE)</f>
        <v>Day</v>
      </c>
      <c r="H18" s="10">
        <f>PRODUCT(D18,F18)</f>
        <v>1500</v>
      </c>
      <c r="I18" s="6"/>
    </row>
    <row r="19" spans="1:9" ht="25.5" x14ac:dyDescent="0.25">
      <c r="A19" s="6" t="str">
        <f>'SOR data - Equipment'!A14</f>
        <v>H-0109</v>
      </c>
      <c r="B19" s="8" t="s">
        <v>110</v>
      </c>
      <c r="C19" s="151" t="str">
        <f>VLOOKUP(A19,'SOR data - Equipment'!A:D,2,FALSE)</f>
        <v>Hire Charges for Surface Vibrator or Earth Rammer including Fuel</v>
      </c>
      <c r="D19" s="8">
        <v>1</v>
      </c>
      <c r="E19" s="8" t="s">
        <v>47</v>
      </c>
      <c r="F19" s="11">
        <f>VLOOKUP(A19,'SOR data - Equipment'!A:D,4,FALSE)</f>
        <v>1000</v>
      </c>
      <c r="G19" s="135" t="str">
        <f>VLOOKUP(A19,'SOR data - Equipment'!A:D,3,FALSE)</f>
        <v>Day</v>
      </c>
      <c r="H19" s="10">
        <f>PRODUCT(D19,F19)</f>
        <v>1000</v>
      </c>
      <c r="I19" s="6"/>
    </row>
    <row r="20" spans="1:9" x14ac:dyDescent="0.25">
      <c r="A20" s="6" t="str">
        <f>'SOR data - Equipment'!A24</f>
        <v>H-0119</v>
      </c>
      <c r="B20" s="8" t="s">
        <v>111</v>
      </c>
      <c r="C20" s="151" t="str">
        <f>VLOOKUP(A20,'SOR data - Equipment'!A:D,2,FALSE)</f>
        <v>Hire charges for Concrete Formwork</v>
      </c>
      <c r="D20" s="8">
        <v>1</v>
      </c>
      <c r="E20" s="8" t="s">
        <v>48</v>
      </c>
      <c r="F20" s="11">
        <f>VLOOKUP(A20,'SOR data - Equipment'!A:D,4,FALSE)</f>
        <v>2500</v>
      </c>
      <c r="G20" s="135" t="str">
        <f>VLOOKUP(A20,'SOR data - Equipment'!A:D,3,FALSE)</f>
        <v>Day</v>
      </c>
      <c r="H20" s="10">
        <f>PRODUCT(D20,F20)</f>
        <v>2500</v>
      </c>
      <c r="I20" s="6"/>
    </row>
    <row r="21" spans="1:9" x14ac:dyDescent="0.25">
      <c r="A21" s="6"/>
      <c r="B21" s="8"/>
      <c r="C21" s="8"/>
      <c r="D21" s="8"/>
      <c r="E21" s="8"/>
      <c r="F21" s="11"/>
      <c r="G21" s="11"/>
      <c r="H21" s="10"/>
      <c r="I21" s="6"/>
    </row>
    <row r="22" spans="1:9" x14ac:dyDescent="0.25">
      <c r="A22" s="12"/>
      <c r="B22" s="98" t="s">
        <v>180</v>
      </c>
      <c r="C22" s="98"/>
      <c r="D22" s="8"/>
      <c r="E22" s="8"/>
      <c r="F22" s="11"/>
      <c r="G22" s="11"/>
      <c r="H22" s="10"/>
      <c r="I22" s="6"/>
    </row>
    <row r="23" spans="1:9" x14ac:dyDescent="0.25">
      <c r="A23" s="12"/>
      <c r="B23" s="151" t="str">
        <f>'LEAD &amp; LIFT'!A22</f>
        <v>Course Aggregate</v>
      </c>
      <c r="C23" s="8"/>
      <c r="D23" s="28">
        <f>D7</f>
        <v>8.4</v>
      </c>
      <c r="E23" s="8" t="str">
        <f>E7</f>
        <v>Cu.M</v>
      </c>
      <c r="F23" s="11">
        <f>VLOOKUP(B23,Table13[#All],5,FALSE)</f>
        <v>307.2</v>
      </c>
      <c r="G23" s="8" t="str">
        <f>G7</f>
        <v>Cu.M</v>
      </c>
      <c r="H23" s="10">
        <f>(F23*D23)</f>
        <v>2580.48</v>
      </c>
      <c r="I23" s="6"/>
    </row>
    <row r="24" spans="1:9" x14ac:dyDescent="0.25">
      <c r="A24" s="12"/>
      <c r="B24" s="151" t="str">
        <f>'LEAD &amp; LIFT'!A23</f>
        <v>Fine Aggregate</v>
      </c>
      <c r="C24" s="8"/>
      <c r="D24" s="28">
        <f>D8</f>
        <v>4.2</v>
      </c>
      <c r="E24" s="8" t="str">
        <f>E8</f>
        <v>Cu.M</v>
      </c>
      <c r="F24" s="11">
        <f>VLOOKUP(B24,Table13[#All],5,FALSE)</f>
        <v>350.55</v>
      </c>
      <c r="G24" s="8" t="str">
        <f>G8</f>
        <v>Cu.M</v>
      </c>
      <c r="H24" s="10">
        <f>(F24*D24)</f>
        <v>1472.3100000000002</v>
      </c>
      <c r="I24" s="6"/>
    </row>
    <row r="25" spans="1:9" x14ac:dyDescent="0.25">
      <c r="A25" s="12"/>
      <c r="B25" s="151" t="str">
        <f>'LEAD &amp; LIFT'!A20</f>
        <v>Cement</v>
      </c>
      <c r="C25" s="8"/>
      <c r="D25" s="28">
        <f>D9</f>
        <v>4.032</v>
      </c>
      <c r="E25" s="8" t="str">
        <f>E9</f>
        <v>MT</v>
      </c>
      <c r="F25" s="11">
        <f>VLOOKUP(B25,Table13[#All],5,FALSE)</f>
        <v>376.06</v>
      </c>
      <c r="G25" s="8" t="str">
        <f>G9</f>
        <v>MT</v>
      </c>
      <c r="H25" s="10">
        <f>(F25*D25)</f>
        <v>1516.2739200000001</v>
      </c>
      <c r="I25" s="6"/>
    </row>
    <row r="26" spans="1:9" x14ac:dyDescent="0.25">
      <c r="A26" s="6"/>
      <c r="B26" s="8"/>
      <c r="C26" s="8"/>
      <c r="D26" s="8"/>
      <c r="E26" s="8"/>
      <c r="F26" s="11"/>
      <c r="G26" s="11"/>
      <c r="H26" s="10"/>
      <c r="I26" s="6"/>
    </row>
    <row r="27" spans="1:9" x14ac:dyDescent="0.25">
      <c r="A27" s="6"/>
      <c r="B27" s="100" t="s">
        <v>36</v>
      </c>
      <c r="C27" s="100"/>
      <c r="D27" s="100"/>
      <c r="E27" s="100"/>
      <c r="F27" s="100"/>
      <c r="G27" s="15"/>
      <c r="H27" s="19">
        <f>SUM(H7:H9,H12:H15,H18:H20,H23:H25)</f>
        <v>63651.463920000002</v>
      </c>
      <c r="I27" s="8"/>
    </row>
    <row r="28" spans="1:9" x14ac:dyDescent="0.25">
      <c r="A28" s="6"/>
      <c r="B28" s="6"/>
      <c r="C28" s="6"/>
      <c r="D28" s="6"/>
      <c r="E28" s="6"/>
      <c r="F28" s="6"/>
      <c r="G28" s="6"/>
      <c r="H28" s="6"/>
      <c r="I28" s="6"/>
    </row>
    <row r="29" spans="1:9" x14ac:dyDescent="0.25">
      <c r="A29" s="6"/>
      <c r="B29" s="96" t="s">
        <v>24</v>
      </c>
      <c r="C29" s="96"/>
      <c r="D29" s="96"/>
      <c r="E29" s="96"/>
      <c r="F29" s="13">
        <v>1.4999999999999999E-2</v>
      </c>
      <c r="G29" s="13"/>
      <c r="H29" s="10">
        <f>PRODUCT(H27,F29)</f>
        <v>954.77195879999999</v>
      </c>
      <c r="I29" s="6"/>
    </row>
    <row r="30" spans="1:9" x14ac:dyDescent="0.25">
      <c r="A30" s="6"/>
      <c r="B30" s="96" t="s">
        <v>25</v>
      </c>
      <c r="C30" s="96"/>
      <c r="D30" s="96"/>
      <c r="E30" s="96"/>
      <c r="F30" s="13">
        <v>0.01</v>
      </c>
      <c r="G30" s="13"/>
      <c r="H30" s="10">
        <f>PRODUCT(H27,F30)</f>
        <v>636.51463920000003</v>
      </c>
      <c r="I30" s="6"/>
    </row>
    <row r="31" spans="1:9" x14ac:dyDescent="0.25">
      <c r="A31" s="6"/>
      <c r="B31" s="96" t="s">
        <v>26</v>
      </c>
      <c r="C31" s="96"/>
      <c r="D31" s="96"/>
      <c r="E31" s="96"/>
      <c r="F31" s="13">
        <v>5.0000000000000001E-3</v>
      </c>
      <c r="G31" s="13"/>
      <c r="H31" s="10">
        <f>PRODUCT(H27,F31)</f>
        <v>318.25731960000002</v>
      </c>
      <c r="I31" s="6"/>
    </row>
    <row r="32" spans="1:9" x14ac:dyDescent="0.25">
      <c r="A32" s="6"/>
      <c r="B32" s="96" t="s">
        <v>27</v>
      </c>
      <c r="C32" s="96"/>
      <c r="D32" s="96"/>
      <c r="E32" s="96"/>
      <c r="F32" s="13">
        <v>0.01</v>
      </c>
      <c r="G32" s="13"/>
      <c r="H32" s="10">
        <f>PRODUCT(H27,F32)</f>
        <v>636.51463920000003</v>
      </c>
      <c r="I32" s="6"/>
    </row>
    <row r="33" spans="1:9" x14ac:dyDescent="0.25">
      <c r="A33" s="6"/>
      <c r="B33" s="96" t="s">
        <v>28</v>
      </c>
      <c r="C33" s="96"/>
      <c r="D33" s="96"/>
      <c r="E33" s="96"/>
      <c r="F33" s="13">
        <v>5.0000000000000001E-3</v>
      </c>
      <c r="G33" s="13"/>
      <c r="H33" s="10">
        <f>PRODUCT(H27,F33)</f>
        <v>318.25731960000002</v>
      </c>
      <c r="I33" s="6"/>
    </row>
    <row r="34" spans="1:9" x14ac:dyDescent="0.25">
      <c r="A34" s="6"/>
      <c r="B34" s="96" t="s">
        <v>29</v>
      </c>
      <c r="C34" s="96"/>
      <c r="D34" s="96"/>
      <c r="E34" s="96"/>
      <c r="F34" s="13">
        <v>5.0000000000000001E-3</v>
      </c>
      <c r="G34" s="13"/>
      <c r="H34" s="10">
        <f>PRODUCT(H27,F34)</f>
        <v>318.25731960000002</v>
      </c>
      <c r="I34" s="6"/>
    </row>
    <row r="35" spans="1:9" x14ac:dyDescent="0.25">
      <c r="A35" s="6"/>
      <c r="B35" s="96" t="s">
        <v>30</v>
      </c>
      <c r="C35" s="96"/>
      <c r="D35" s="96"/>
      <c r="E35" s="96"/>
      <c r="F35" s="13">
        <v>5.0000000000000001E-3</v>
      </c>
      <c r="G35" s="13"/>
      <c r="H35" s="10">
        <f>PRODUCT(H27,F35)</f>
        <v>318.25731960000002</v>
      </c>
      <c r="I35" s="6"/>
    </row>
    <row r="36" spans="1:9" x14ac:dyDescent="0.25">
      <c r="A36" s="6"/>
      <c r="B36" s="96" t="s">
        <v>31</v>
      </c>
      <c r="C36" s="96"/>
      <c r="D36" s="96"/>
      <c r="E36" s="96"/>
      <c r="F36" s="13">
        <v>0.05</v>
      </c>
      <c r="G36" s="13"/>
      <c r="H36" s="10">
        <f>PRODUCT(H27,F36)</f>
        <v>3182.5731960000003</v>
      </c>
      <c r="I36" s="6"/>
    </row>
    <row r="37" spans="1:9" x14ac:dyDescent="0.25">
      <c r="A37" s="6"/>
      <c r="B37" s="96" t="s">
        <v>32</v>
      </c>
      <c r="C37" s="96"/>
      <c r="D37" s="96"/>
      <c r="E37" s="96"/>
      <c r="F37" s="13">
        <v>0.1</v>
      </c>
      <c r="G37" s="13"/>
      <c r="H37" s="10">
        <f>PRODUCT(H27,F37)</f>
        <v>6365.1463920000006</v>
      </c>
      <c r="I37" s="6"/>
    </row>
    <row r="38" spans="1:9" x14ac:dyDescent="0.25">
      <c r="A38" s="9"/>
      <c r="B38" s="9"/>
      <c r="C38" s="9"/>
      <c r="D38" s="9"/>
      <c r="E38" s="9"/>
      <c r="F38" s="9"/>
      <c r="G38" s="9"/>
      <c r="H38" s="9"/>
      <c r="I38" s="9"/>
    </row>
    <row r="39" spans="1:9" x14ac:dyDescent="0.25">
      <c r="A39" s="9"/>
      <c r="B39" s="100" t="s">
        <v>37</v>
      </c>
      <c r="C39" s="100"/>
      <c r="D39" s="100"/>
      <c r="E39" s="100"/>
      <c r="F39" s="100"/>
      <c r="G39" s="15"/>
      <c r="H39" s="19">
        <f>SUM(H29:H37)</f>
        <v>13048.550103600001</v>
      </c>
      <c r="I39" s="9"/>
    </row>
    <row r="40" spans="1:9" x14ac:dyDescent="0.25">
      <c r="A40" s="9"/>
      <c r="B40" s="9"/>
      <c r="C40" s="9"/>
      <c r="D40" s="9"/>
      <c r="E40" s="9"/>
      <c r="F40" s="9"/>
      <c r="G40" s="9"/>
      <c r="H40" s="9"/>
      <c r="I40" s="9"/>
    </row>
    <row r="41" spans="1:9" x14ac:dyDescent="0.25">
      <c r="A41" s="9"/>
      <c r="B41" s="101" t="s">
        <v>149</v>
      </c>
      <c r="C41" s="101"/>
      <c r="D41" s="101"/>
      <c r="E41" s="101"/>
      <c r="F41" s="101"/>
      <c r="G41" s="20"/>
      <c r="H41" s="21">
        <f>SUM(H27,H39)</f>
        <v>76700.014023600001</v>
      </c>
      <c r="I41" s="9"/>
    </row>
    <row r="42" spans="1:9" x14ac:dyDescent="0.25">
      <c r="A42" s="9"/>
      <c r="B42" s="9"/>
      <c r="C42" s="9"/>
      <c r="D42" s="9"/>
      <c r="E42" s="9"/>
      <c r="F42" s="9"/>
      <c r="G42" s="9"/>
      <c r="H42" s="9"/>
      <c r="I42" s="9"/>
    </row>
    <row r="43" spans="1:9" x14ac:dyDescent="0.25">
      <c r="A43" s="9"/>
      <c r="B43" s="101" t="s">
        <v>42</v>
      </c>
      <c r="C43" s="101"/>
      <c r="D43" s="101"/>
      <c r="E43" s="101"/>
      <c r="F43" s="101"/>
      <c r="G43" s="20"/>
      <c r="H43" s="21">
        <f>CEILING(H41/D3,1)</f>
        <v>7671</v>
      </c>
      <c r="I43" s="9"/>
    </row>
  </sheetData>
  <mergeCells count="20">
    <mergeCell ref="B43:F43"/>
    <mergeCell ref="B34:E34"/>
    <mergeCell ref="B35:E35"/>
    <mergeCell ref="B36:E36"/>
    <mergeCell ref="B37:E37"/>
    <mergeCell ref="B39:F39"/>
    <mergeCell ref="B41:F41"/>
    <mergeCell ref="B33:E33"/>
    <mergeCell ref="B3:C3"/>
    <mergeCell ref="B6:C6"/>
    <mergeCell ref="B11:C11"/>
    <mergeCell ref="D11:F11"/>
    <mergeCell ref="B17:C17"/>
    <mergeCell ref="D17:F17"/>
    <mergeCell ref="B27:F27"/>
    <mergeCell ref="B29:E29"/>
    <mergeCell ref="B30:E30"/>
    <mergeCell ref="B31:E31"/>
    <mergeCell ref="B32:E32"/>
    <mergeCell ref="B22:C2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316C6-A414-4EC2-856F-3CAAC5F0C3B6}">
  <dimension ref="A1:I52"/>
  <sheetViews>
    <sheetView view="pageBreakPreview" zoomScaleNormal="75" zoomScaleSheetLayoutView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11" defaultRowHeight="15.75" x14ac:dyDescent="0.25"/>
  <cols>
    <col min="1" max="1" width="12.875" customWidth="1"/>
    <col min="2" max="2" width="25.875" customWidth="1"/>
    <col min="3" max="3" width="40.875" customWidth="1"/>
    <col min="4" max="4" width="12.875" customWidth="1"/>
    <col min="6" max="6" width="12.875" customWidth="1"/>
    <col min="8" max="8" width="15.875" customWidth="1"/>
    <col min="9" max="9" width="30.875" customWidth="1"/>
  </cols>
  <sheetData>
    <row r="1" spans="1:9" x14ac:dyDescent="0.25">
      <c r="A1" s="17" t="s">
        <v>50</v>
      </c>
      <c r="B1" s="14" t="s">
        <v>60</v>
      </c>
      <c r="C1" s="14"/>
      <c r="D1" s="9"/>
      <c r="E1" s="9"/>
      <c r="F1" s="9"/>
      <c r="G1" s="9"/>
      <c r="H1" s="9"/>
      <c r="I1" s="9"/>
    </row>
    <row r="2" spans="1:9" x14ac:dyDescent="0.25">
      <c r="A2" s="6"/>
      <c r="B2" s="14" t="s">
        <v>793</v>
      </c>
      <c r="C2" s="14"/>
      <c r="D2" s="9"/>
      <c r="E2" s="9"/>
      <c r="F2" s="9"/>
      <c r="G2" s="9"/>
      <c r="H2" s="9"/>
      <c r="I2" s="9"/>
    </row>
    <row r="3" spans="1:9" x14ac:dyDescent="0.25">
      <c r="A3" s="9"/>
      <c r="B3" s="97" t="s">
        <v>41</v>
      </c>
      <c r="C3" s="97"/>
      <c r="D3" s="7">
        <v>10</v>
      </c>
      <c r="E3" s="7" t="s">
        <v>40</v>
      </c>
      <c r="F3" s="7"/>
      <c r="G3" s="7"/>
      <c r="H3" s="7"/>
      <c r="I3" s="7"/>
    </row>
    <row r="4" spans="1:9" x14ac:dyDescent="0.25">
      <c r="A4" s="9"/>
      <c r="B4" s="23"/>
      <c r="C4" s="23"/>
      <c r="D4" s="7"/>
      <c r="E4" s="7"/>
      <c r="F4" s="7"/>
      <c r="G4" s="7"/>
      <c r="H4" s="7"/>
      <c r="I4" s="7"/>
    </row>
    <row r="5" spans="1:9" x14ac:dyDescent="0.25">
      <c r="A5" s="17" t="s">
        <v>19</v>
      </c>
      <c r="B5" s="17" t="s">
        <v>108</v>
      </c>
      <c r="C5" s="17" t="s">
        <v>33</v>
      </c>
      <c r="D5" s="17" t="s">
        <v>23</v>
      </c>
      <c r="E5" s="17" t="s">
        <v>18</v>
      </c>
      <c r="F5" s="17" t="s">
        <v>49</v>
      </c>
      <c r="G5" s="17" t="s">
        <v>46</v>
      </c>
      <c r="H5" s="17" t="s">
        <v>34</v>
      </c>
      <c r="I5" s="17" t="s">
        <v>35</v>
      </c>
    </row>
    <row r="6" spans="1:9" x14ac:dyDescent="0.25">
      <c r="A6" s="17"/>
      <c r="B6" s="98" t="s">
        <v>17</v>
      </c>
      <c r="C6" s="98"/>
      <c r="D6" s="18"/>
      <c r="E6" s="18"/>
      <c r="F6" s="18"/>
      <c r="G6" s="18"/>
      <c r="H6" s="17"/>
      <c r="I6" s="17"/>
    </row>
    <row r="7" spans="1:9" x14ac:dyDescent="0.25">
      <c r="A7" s="6" t="str">
        <f>'TN SOR data - Material'!A77</f>
        <v>M-0088</v>
      </c>
      <c r="B7" s="8" t="s">
        <v>106</v>
      </c>
      <c r="C7" s="29" t="str">
        <f>VLOOKUP(A7,Table24[#All],2,FALSE)</f>
        <v>HBGS Jelly 20mm size</v>
      </c>
      <c r="D7" s="28">
        <v>8.4</v>
      </c>
      <c r="E7" s="8" t="s">
        <v>40</v>
      </c>
      <c r="F7" s="11">
        <f>VLOOKUP(A7,'TN SOR data - Material'!A:D,4,FALSE)</f>
        <v>1897.4</v>
      </c>
      <c r="G7" s="135" t="str">
        <f>VLOOKUP(A7,Table24[],3,FALSE)</f>
        <v>Cu.M</v>
      </c>
      <c r="H7" s="10">
        <f t="shared" ref="H7:H11" si="0">PRODUCT(D7,F7)</f>
        <v>15938.160000000002</v>
      </c>
      <c r="I7" s="6"/>
    </row>
    <row r="8" spans="1:9" x14ac:dyDescent="0.25">
      <c r="A8" s="6" t="str">
        <f>'TN SOR data - Material'!A94</f>
        <v>M-0125</v>
      </c>
      <c r="B8" s="8" t="s">
        <v>107</v>
      </c>
      <c r="C8" s="29" t="str">
        <f>VLOOKUP(A8,Table24[#All],2,FALSE)</f>
        <v>Crushed Stone Sand (Commercially called M-Sand)</v>
      </c>
      <c r="D8" s="28">
        <v>4.2</v>
      </c>
      <c r="E8" s="8" t="s">
        <v>40</v>
      </c>
      <c r="F8" s="11">
        <f>VLOOKUP(A8,'TN SOR data - Material'!A:D,4,FALSE)</f>
        <v>1578.8</v>
      </c>
      <c r="G8" s="135" t="str">
        <f>VLOOKUP(A8,Table24[],3,FALSE)</f>
        <v>Cu.M</v>
      </c>
      <c r="H8" s="10">
        <f t="shared" si="0"/>
        <v>6630.96</v>
      </c>
      <c r="I8" s="6"/>
    </row>
    <row r="9" spans="1:9" x14ac:dyDescent="0.25">
      <c r="A9" s="6" t="str">
        <f>'TN SOR data - Material'!A2</f>
        <v>M-0001</v>
      </c>
      <c r="B9" s="151" t="s">
        <v>810</v>
      </c>
      <c r="C9" s="29" t="str">
        <f>VLOOKUP(A9,Table24[#All],2,FALSE)</f>
        <v>Cement</v>
      </c>
      <c r="D9" s="28">
        <v>4.032</v>
      </c>
      <c r="E9" s="8" t="s">
        <v>114</v>
      </c>
      <c r="F9" s="11">
        <f>VLOOKUP(A9,'TN SOR data - Material'!A:D,4,FALSE)</f>
        <v>5602.5</v>
      </c>
      <c r="G9" s="135" t="str">
        <f>VLOOKUP(A9,Table24[],3,FALSE)</f>
        <v>MT</v>
      </c>
      <c r="H9" s="10">
        <f>PRODUCT(D9,F9)</f>
        <v>22589.279999999999</v>
      </c>
      <c r="I9" s="6"/>
    </row>
    <row r="10" spans="1:9" ht="38.25" x14ac:dyDescent="0.25">
      <c r="A10" s="6" t="str">
        <f>'TN SOR data - Material'!A3</f>
        <v>M-0002</v>
      </c>
      <c r="B10" s="151" t="s">
        <v>795</v>
      </c>
      <c r="C10" s="29" t="str">
        <f>VLOOKUP(A10,Table24[#All],2,FALSE)</f>
        <v>Steel</v>
      </c>
      <c r="D10" s="28">
        <v>1.57</v>
      </c>
      <c r="E10" s="8" t="s">
        <v>114</v>
      </c>
      <c r="F10" s="11">
        <f>VLOOKUP(A10,'TN SOR data - Material'!A:D,4,FALSE)</f>
        <v>55665</v>
      </c>
      <c r="G10" s="135" t="str">
        <f>VLOOKUP(A10,Table24[],3,FALSE)</f>
        <v>MT</v>
      </c>
      <c r="H10" s="10">
        <f>PRODUCT(D10,F10)</f>
        <v>87394.05</v>
      </c>
      <c r="I10" s="153" t="s">
        <v>796</v>
      </c>
    </row>
    <row r="11" spans="1:9" x14ac:dyDescent="0.25">
      <c r="A11" s="6" t="str">
        <f>'TN SOR data - Material'!A167</f>
        <v>M-0189</v>
      </c>
      <c r="B11" s="151" t="s">
        <v>142</v>
      </c>
      <c r="C11" s="29" t="str">
        <f>VLOOKUP(A11,Table24[#All],2,FALSE)</f>
        <v>Binding Wire (Galvanised-18 G)</v>
      </c>
      <c r="D11" s="28">
        <v>2</v>
      </c>
      <c r="E11" s="8" t="s">
        <v>143</v>
      </c>
      <c r="F11" s="11">
        <f>VLOOKUP(A11,'TN SOR data - Material'!A:D,4,FALSE)</f>
        <v>56.35</v>
      </c>
      <c r="G11" s="135" t="str">
        <f>VLOOKUP(A11,Table24[],3,FALSE)</f>
        <v>Kg</v>
      </c>
      <c r="H11" s="10">
        <f>PRODUCT(D11,F11)</f>
        <v>112.7</v>
      </c>
      <c r="I11" s="6"/>
    </row>
    <row r="12" spans="1:9" x14ac:dyDescent="0.25">
      <c r="A12" s="6"/>
      <c r="B12" s="7"/>
      <c r="C12" s="7"/>
      <c r="D12" s="8"/>
      <c r="E12" s="8"/>
      <c r="F12" s="11"/>
      <c r="G12" s="11"/>
      <c r="H12" s="10"/>
      <c r="I12" s="6"/>
    </row>
    <row r="13" spans="1:9" x14ac:dyDescent="0.25">
      <c r="A13" s="17"/>
      <c r="B13" s="98" t="s">
        <v>38</v>
      </c>
      <c r="C13" s="98"/>
      <c r="D13" s="99"/>
      <c r="E13" s="99"/>
      <c r="F13" s="99"/>
      <c r="G13" s="22"/>
      <c r="H13" s="17"/>
      <c r="I13" s="17"/>
    </row>
    <row r="14" spans="1:9" x14ac:dyDescent="0.25">
      <c r="A14" s="6" t="str">
        <f>'TN SOR data - Labour'!A26</f>
        <v>L-0029</v>
      </c>
      <c r="B14" s="151" t="s">
        <v>148</v>
      </c>
      <c r="C14" s="29" t="str">
        <f>VLOOKUP(A14,'TN SOR data - Labour'!A:D,2,FALSE)</f>
        <v>Mason for Brick Work-I Class</v>
      </c>
      <c r="D14" s="8">
        <v>1</v>
      </c>
      <c r="E14" s="8" t="s">
        <v>47</v>
      </c>
      <c r="F14" s="11">
        <f>VLOOKUP(A14,'TN SOR data - Labour'!A:D,4,FALSE)</f>
        <v>1174</v>
      </c>
      <c r="G14" s="135" t="str">
        <f>VLOOKUP(A14,Table1[],3,FALSE)</f>
        <v>Day</v>
      </c>
      <c r="H14" s="10">
        <f>PRODUCT(D14,F14)</f>
        <v>1174</v>
      </c>
      <c r="I14" s="6"/>
    </row>
    <row r="15" spans="1:9" x14ac:dyDescent="0.25">
      <c r="A15" s="6" t="str">
        <f>'TN SOR data - Labour'!A26</f>
        <v>L-0029</v>
      </c>
      <c r="B15" s="151" t="s">
        <v>22</v>
      </c>
      <c r="C15" s="29" t="str">
        <f>VLOOKUP(A15,'TN SOR data - Labour'!A:D,2,FALSE)</f>
        <v>Mason for Brick Work-I Class</v>
      </c>
      <c r="D15" s="8">
        <v>3</v>
      </c>
      <c r="E15" s="8" t="s">
        <v>47</v>
      </c>
      <c r="F15" s="11">
        <f>VLOOKUP(A15,'TN SOR data - Labour'!A:D,4,FALSE)</f>
        <v>1174</v>
      </c>
      <c r="G15" s="135" t="str">
        <f>VLOOKUP(A15,Table1[],3,FALSE)</f>
        <v>Day</v>
      </c>
      <c r="H15" s="10">
        <f>PRODUCT(D15,F15)</f>
        <v>3522</v>
      </c>
      <c r="I15" s="6"/>
    </row>
    <row r="16" spans="1:9" x14ac:dyDescent="0.25">
      <c r="A16" s="6" t="str">
        <f>'TN SOR data - Labour'!A63</f>
        <v>L-0073</v>
      </c>
      <c r="B16" s="151" t="s">
        <v>44</v>
      </c>
      <c r="C16" s="29" t="str">
        <f>VLOOKUP(A16,'TN SOR data - Labour'!A:D,2,FALSE)</f>
        <v>Mazdoor Category-I</v>
      </c>
      <c r="D16" s="8">
        <v>4</v>
      </c>
      <c r="E16" s="8" t="s">
        <v>47</v>
      </c>
      <c r="F16" s="11">
        <f>VLOOKUP(A16,'TN SOR data - Labour'!A:D,4,FALSE)</f>
        <v>766</v>
      </c>
      <c r="G16" s="135" t="str">
        <f>VLOOKUP(A16,Table1[],3,FALSE)</f>
        <v>Day</v>
      </c>
      <c r="H16" s="10">
        <f t="shared" ref="H16" si="1">PRODUCT(D16,F16)</f>
        <v>3064</v>
      </c>
      <c r="I16" s="6"/>
    </row>
    <row r="17" spans="1:9" x14ac:dyDescent="0.25">
      <c r="A17" s="6" t="str">
        <f>'TN SOR data - Labour'!A85</f>
        <v>L-0098</v>
      </c>
      <c r="B17" s="151" t="s">
        <v>45</v>
      </c>
      <c r="C17" s="29" t="str">
        <f>VLOOKUP(A17,'TN SOR data - Labour'!A:D,2,FALSE)</f>
        <v>Mazdoor Category-II</v>
      </c>
      <c r="D17" s="8">
        <v>4</v>
      </c>
      <c r="E17" s="8" t="s">
        <v>47</v>
      </c>
      <c r="F17" s="11">
        <f>VLOOKUP(A17,'TN SOR data - Labour'!A:D,4,FALSE)</f>
        <v>628</v>
      </c>
      <c r="G17" s="135" t="str">
        <f>VLOOKUP(A17,Table1[],3,FALSE)</f>
        <v>Day</v>
      </c>
      <c r="H17" s="10">
        <f>PRODUCT(D17,F17)</f>
        <v>2512</v>
      </c>
      <c r="I17" s="6"/>
    </row>
    <row r="18" spans="1:9" ht="25.5" x14ac:dyDescent="0.25">
      <c r="A18" s="6" t="str">
        <f>'TN SOR data - Labour'!A52</f>
        <v>L-0060</v>
      </c>
      <c r="B18" s="151" t="s">
        <v>798</v>
      </c>
      <c r="C18" s="29" t="str">
        <f>VLOOKUP(A18,'TN SOR data - Labour'!A:D,2,FALSE)</f>
        <v>Blacksmith-II Class</v>
      </c>
      <c r="D18" s="8">
        <v>8</v>
      </c>
      <c r="E18" s="8" t="s">
        <v>47</v>
      </c>
      <c r="F18" s="11">
        <f>VLOOKUP(A18,'TN SOR data - Labour'!A:D,4,FALSE)</f>
        <v>867</v>
      </c>
      <c r="G18" s="135" t="str">
        <f>VLOOKUP(A18,Table1[],3,FALSE)</f>
        <v>Day</v>
      </c>
      <c r="H18" s="10">
        <f t="shared" ref="H18:H21" si="2">PRODUCT(D18,F18)</f>
        <v>6936</v>
      </c>
      <c r="I18" s="6"/>
    </row>
    <row r="19" spans="1:9" x14ac:dyDescent="0.25">
      <c r="A19" s="6" t="str">
        <f>'TN SOR data - Labour'!A85</f>
        <v>L-0098</v>
      </c>
      <c r="B19" s="151" t="s">
        <v>799</v>
      </c>
      <c r="C19" s="29" t="str">
        <f>VLOOKUP(A19,'TN SOR data - Labour'!A:D,2,FALSE)</f>
        <v>Mazdoor Category-II</v>
      </c>
      <c r="D19" s="8">
        <v>8</v>
      </c>
      <c r="E19" s="8" t="s">
        <v>47</v>
      </c>
      <c r="F19" s="11">
        <f>VLOOKUP(A19,'TN SOR data - Labour'!A:D,4,FALSE)</f>
        <v>628</v>
      </c>
      <c r="G19" s="135" t="str">
        <f>VLOOKUP(A19,Table1[],3,FALSE)</f>
        <v>Day</v>
      </c>
      <c r="H19" s="10">
        <f t="shared" si="2"/>
        <v>5024</v>
      </c>
      <c r="I19" s="6"/>
    </row>
    <row r="20" spans="1:9" ht="25.5" x14ac:dyDescent="0.25">
      <c r="A20" s="6" t="str">
        <f>'TN SOR data - Labour'!A55</f>
        <v>L-0063</v>
      </c>
      <c r="B20" s="151" t="s">
        <v>800</v>
      </c>
      <c r="C20" s="29" t="str">
        <f>VLOOKUP(A20,'TN SOR data - Labour'!A:D,2,FALSE)</f>
        <v>Carpenter-II Class</v>
      </c>
      <c r="D20" s="8">
        <v>10</v>
      </c>
      <c r="E20" s="8" t="s">
        <v>47</v>
      </c>
      <c r="F20" s="11">
        <f>VLOOKUP(A20,'TN SOR data - Labour'!A:D,4,FALSE)</f>
        <v>1096</v>
      </c>
      <c r="G20" s="135" t="str">
        <f>VLOOKUP(A20,Table1[],3,FALSE)</f>
        <v>Day</v>
      </c>
      <c r="H20" s="10">
        <f t="shared" si="2"/>
        <v>10960</v>
      </c>
      <c r="I20" s="6"/>
    </row>
    <row r="21" spans="1:9" ht="25.5" x14ac:dyDescent="0.25">
      <c r="A21" s="6" t="str">
        <f>'TN SOR data - Labour'!A85</f>
        <v>L-0098</v>
      </c>
      <c r="B21" s="151" t="s">
        <v>801</v>
      </c>
      <c r="C21" s="29" t="str">
        <f>VLOOKUP(A21,'TN SOR data - Labour'!A:D,2,FALSE)</f>
        <v>Mazdoor Category-II</v>
      </c>
      <c r="D21" s="8">
        <v>10</v>
      </c>
      <c r="E21" s="8" t="s">
        <v>47</v>
      </c>
      <c r="F21" s="11">
        <f>VLOOKUP(A21,'TN SOR data - Labour'!A:D,4,FALSE)</f>
        <v>628</v>
      </c>
      <c r="G21" s="135" t="str">
        <f>VLOOKUP(A21,Table1[],3,FALSE)</f>
        <v>Day</v>
      </c>
      <c r="H21" s="10">
        <f t="shared" si="2"/>
        <v>6280</v>
      </c>
      <c r="I21" s="6"/>
    </row>
    <row r="22" spans="1:9" x14ac:dyDescent="0.25">
      <c r="A22" s="6"/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17"/>
      <c r="B23" s="98" t="s">
        <v>39</v>
      </c>
      <c r="C23" s="98"/>
      <c r="D23" s="99"/>
      <c r="E23" s="99"/>
      <c r="F23" s="99"/>
      <c r="G23" s="22"/>
      <c r="H23" s="17"/>
      <c r="I23" s="17"/>
    </row>
    <row r="24" spans="1:9" x14ac:dyDescent="0.25">
      <c r="A24" s="6" t="str">
        <f>'SOR data - Equipment'!A15</f>
        <v>H-0110</v>
      </c>
      <c r="B24" s="8" t="s">
        <v>109</v>
      </c>
      <c r="C24" s="151" t="str">
        <f>VLOOKUP(A24,'SOR data - Equipment'!A:D,2,FALSE)</f>
        <v>Mixer Machine with Hopper</v>
      </c>
      <c r="D24" s="8">
        <v>0.75</v>
      </c>
      <c r="E24" s="8" t="s">
        <v>47</v>
      </c>
      <c r="F24" s="11">
        <f>VLOOKUP(A24,'SOR data - Equipment'!A:D,4,FALSE)</f>
        <v>1500</v>
      </c>
      <c r="G24" s="135" t="str">
        <f>VLOOKUP(A24,'SOR data - Equipment'!A:D,3,FALSE)</f>
        <v>Day</v>
      </c>
      <c r="H24" s="10">
        <f>PRODUCT(D24,F24)</f>
        <v>1125</v>
      </c>
      <c r="I24" s="6"/>
    </row>
    <row r="25" spans="1:9" ht="25.5" x14ac:dyDescent="0.25">
      <c r="A25" s="6" t="str">
        <f>'SOR data - Equipment'!A14</f>
        <v>H-0109</v>
      </c>
      <c r="B25" s="8" t="s">
        <v>110</v>
      </c>
      <c r="C25" s="151" t="str">
        <f>VLOOKUP(A25,'SOR data - Equipment'!A:D,2,FALSE)</f>
        <v>Hire Charges for Surface Vibrator or Earth Rammer including Fuel</v>
      </c>
      <c r="D25" s="8">
        <v>1</v>
      </c>
      <c r="E25" s="8" t="s">
        <v>48</v>
      </c>
      <c r="F25" s="11">
        <f>VLOOKUP(A25,'SOR data - Equipment'!A:D,4,FALSE)</f>
        <v>1000</v>
      </c>
      <c r="G25" s="135" t="str">
        <f>VLOOKUP(A25,'SOR data - Equipment'!A:D,3,FALSE)</f>
        <v>Day</v>
      </c>
      <c r="H25" s="10">
        <f>PRODUCT(D25,F25)</f>
        <v>1000</v>
      </c>
      <c r="I25" s="6"/>
    </row>
    <row r="26" spans="1:9" x14ac:dyDescent="0.25">
      <c r="A26" s="6" t="str">
        <f>'SOR data - Equipment'!A24</f>
        <v>H-0119</v>
      </c>
      <c r="B26" s="8" t="s">
        <v>111</v>
      </c>
      <c r="C26" s="151" t="str">
        <f>VLOOKUP(A26,'SOR data - Equipment'!A:D,2,FALSE)</f>
        <v>Hire charges for Concrete Formwork</v>
      </c>
      <c r="D26" s="8">
        <v>1</v>
      </c>
      <c r="E26" s="8" t="s">
        <v>48</v>
      </c>
      <c r="F26" s="11">
        <f>VLOOKUP(A26,'SOR data - Equipment'!A:D,4,FALSE)</f>
        <v>2500</v>
      </c>
      <c r="G26" s="135" t="str">
        <f>VLOOKUP(A26,'SOR data - Equipment'!A:D,3,FALSE)</f>
        <v>Day</v>
      </c>
      <c r="H26" s="10">
        <f>PRODUCT(D26,F26)</f>
        <v>2500</v>
      </c>
      <c r="I26" s="6"/>
    </row>
    <row r="27" spans="1:9" x14ac:dyDescent="0.25">
      <c r="A27" s="6" t="str">
        <f>'SOR data - Equipment'!A25</f>
        <v>H-0120</v>
      </c>
      <c r="B27" s="8" t="s">
        <v>112</v>
      </c>
      <c r="C27" s="151" t="str">
        <f>VLOOKUP(A27,'SOR data - Equipment'!A:D,2,FALSE)</f>
        <v>Hire charges for Concrete Shuttering</v>
      </c>
      <c r="D27" s="8">
        <v>1</v>
      </c>
      <c r="E27" s="8" t="s">
        <v>48</v>
      </c>
      <c r="F27" s="11">
        <f>VLOOKUP(A27,'SOR data - Equipment'!A:D,4,FALSE)</f>
        <v>3000</v>
      </c>
      <c r="G27" s="135" t="str">
        <f>VLOOKUP(A27,'SOR data - Equipment'!A:D,3,FALSE)</f>
        <v>Day</v>
      </c>
      <c r="H27" s="10">
        <f>PRODUCT(D27,F27)</f>
        <v>3000</v>
      </c>
      <c r="I27" s="6"/>
    </row>
    <row r="28" spans="1:9" x14ac:dyDescent="0.25">
      <c r="A28" s="6" t="str">
        <f>'SOR data - Equipment'!A26</f>
        <v>H-0121</v>
      </c>
      <c r="B28" s="8" t="s">
        <v>140</v>
      </c>
      <c r="C28" s="151" t="str">
        <f>VLOOKUP(A28,'SOR data - Equipment'!A:D,2,FALSE)</f>
        <v>Hire charges for Concrete Tools and Tackles</v>
      </c>
      <c r="D28" s="8">
        <v>1</v>
      </c>
      <c r="E28" s="8" t="s">
        <v>48</v>
      </c>
      <c r="F28" s="11">
        <f>VLOOKUP(A28,'SOR data - Equipment'!A:D,4,FALSE)</f>
        <v>2000</v>
      </c>
      <c r="G28" s="135" t="str">
        <f>VLOOKUP(A28,'SOR data - Equipment'!A:D,3,FALSE)</f>
        <v>Day</v>
      </c>
      <c r="H28" s="10">
        <f>PRODUCT(D28,F28)</f>
        <v>2000</v>
      </c>
      <c r="I28" s="6"/>
    </row>
    <row r="29" spans="1:9" x14ac:dyDescent="0.25">
      <c r="A29" s="6"/>
      <c r="B29" s="8"/>
      <c r="C29" s="8"/>
      <c r="D29" s="8"/>
      <c r="E29" s="8"/>
      <c r="F29" s="11"/>
      <c r="G29" s="11"/>
      <c r="H29" s="10"/>
      <c r="I29" s="6"/>
    </row>
    <row r="30" spans="1:9" x14ac:dyDescent="0.25">
      <c r="A30" s="12"/>
      <c r="B30" s="98" t="s">
        <v>180</v>
      </c>
      <c r="C30" s="98"/>
      <c r="D30" s="8"/>
      <c r="E30" s="8"/>
      <c r="F30" s="11"/>
      <c r="G30" s="11"/>
      <c r="H30" s="10"/>
      <c r="I30" s="6"/>
    </row>
    <row r="31" spans="1:9" x14ac:dyDescent="0.25">
      <c r="A31" s="12"/>
      <c r="B31" s="151" t="str">
        <f>'LEAD &amp; LIFT'!A22</f>
        <v>Course Aggregate</v>
      </c>
      <c r="C31" s="8"/>
      <c r="D31" s="28">
        <f>D7</f>
        <v>8.4</v>
      </c>
      <c r="E31" s="28" t="str">
        <f>E7</f>
        <v>Cu.M</v>
      </c>
      <c r="F31" s="11">
        <f>VLOOKUP(B31,Table13[#All],5,FALSE)</f>
        <v>307.2</v>
      </c>
      <c r="G31" s="28" t="str">
        <f>G7</f>
        <v>Cu.M</v>
      </c>
      <c r="H31" s="10">
        <f>(F31*D31)</f>
        <v>2580.48</v>
      </c>
      <c r="I31" s="6"/>
    </row>
    <row r="32" spans="1:9" x14ac:dyDescent="0.25">
      <c r="A32" s="12"/>
      <c r="B32" s="151" t="str">
        <f>'LEAD &amp; LIFT'!A23</f>
        <v>Fine Aggregate</v>
      </c>
      <c r="C32" s="8"/>
      <c r="D32" s="28">
        <f>D8</f>
        <v>4.2</v>
      </c>
      <c r="E32" s="28" t="str">
        <f>E8</f>
        <v>Cu.M</v>
      </c>
      <c r="F32" s="11">
        <f>VLOOKUP(B32,Table13[#All],5,FALSE)</f>
        <v>350.55</v>
      </c>
      <c r="G32" s="28" t="str">
        <f>G8</f>
        <v>Cu.M</v>
      </c>
      <c r="H32" s="10">
        <f>(F32*D32)</f>
        <v>1472.3100000000002</v>
      </c>
      <c r="I32" s="6"/>
    </row>
    <row r="33" spans="1:9" x14ac:dyDescent="0.25">
      <c r="A33" s="12"/>
      <c r="B33" s="151" t="str">
        <f>'LEAD &amp; LIFT'!A20</f>
        <v>Cement</v>
      </c>
      <c r="C33" s="8"/>
      <c r="D33" s="28">
        <f>D9</f>
        <v>4.032</v>
      </c>
      <c r="E33" s="28" t="str">
        <f>E9</f>
        <v>MT</v>
      </c>
      <c r="F33" s="11">
        <f>VLOOKUP(B33,Table13[#All],5,FALSE)</f>
        <v>376.06</v>
      </c>
      <c r="G33" s="28" t="str">
        <f>G9</f>
        <v>MT</v>
      </c>
      <c r="H33" s="10">
        <f>(F33*D33)</f>
        <v>1516.2739200000001</v>
      </c>
      <c r="I33" s="6"/>
    </row>
    <row r="34" spans="1:9" x14ac:dyDescent="0.25">
      <c r="A34" s="12"/>
      <c r="B34" s="151" t="str">
        <f>'LEAD &amp; LIFT'!A21</f>
        <v>Steel</v>
      </c>
      <c r="C34" s="8"/>
      <c r="D34" s="28">
        <f>D10</f>
        <v>1.57</v>
      </c>
      <c r="E34" s="28" t="str">
        <f>E10</f>
        <v>MT</v>
      </c>
      <c r="F34" s="11">
        <f>VLOOKUP(B34,Table13[#All],5,FALSE)</f>
        <v>350.86</v>
      </c>
      <c r="G34" s="28" t="str">
        <f>G10</f>
        <v>MT</v>
      </c>
      <c r="H34" s="10">
        <f>(F34*D34)</f>
        <v>550.85020000000009</v>
      </c>
      <c r="I34" s="6"/>
    </row>
    <row r="35" spans="1:9" x14ac:dyDescent="0.25">
      <c r="A35" s="6"/>
      <c r="B35" s="8"/>
      <c r="C35" s="8"/>
      <c r="D35" s="8"/>
      <c r="E35" s="8"/>
      <c r="F35" s="11"/>
      <c r="G35" s="11"/>
      <c r="H35" s="10"/>
      <c r="I35" s="6"/>
    </row>
    <row r="36" spans="1:9" x14ac:dyDescent="0.25">
      <c r="A36" s="6"/>
      <c r="B36" s="100" t="s">
        <v>36</v>
      </c>
      <c r="C36" s="100"/>
      <c r="D36" s="100"/>
      <c r="E36" s="100"/>
      <c r="F36" s="100"/>
      <c r="G36" s="15"/>
      <c r="H36" s="19">
        <f>SUM(H7:H11,H14:H21,H24:H28,H31:H34)</f>
        <v>187882.06412000002</v>
      </c>
      <c r="I36" s="8"/>
    </row>
    <row r="37" spans="1:9" x14ac:dyDescent="0.25">
      <c r="A37" s="6"/>
      <c r="B37" s="6"/>
      <c r="C37" s="6"/>
      <c r="D37" s="6"/>
      <c r="E37" s="6"/>
      <c r="F37" s="6"/>
      <c r="G37" s="6"/>
      <c r="H37" s="6"/>
      <c r="I37" s="6"/>
    </row>
    <row r="38" spans="1:9" x14ac:dyDescent="0.25">
      <c r="A38" s="6"/>
      <c r="B38" s="96" t="s">
        <v>24</v>
      </c>
      <c r="C38" s="96"/>
      <c r="D38" s="96"/>
      <c r="E38" s="96"/>
      <c r="F38" s="13">
        <v>1.4999999999999999E-2</v>
      </c>
      <c r="G38" s="13"/>
      <c r="H38" s="10">
        <f>PRODUCT(H36,F38)</f>
        <v>2818.2309618000004</v>
      </c>
      <c r="I38" s="6"/>
    </row>
    <row r="39" spans="1:9" x14ac:dyDescent="0.25">
      <c r="A39" s="6"/>
      <c r="B39" s="96" t="s">
        <v>25</v>
      </c>
      <c r="C39" s="96"/>
      <c r="D39" s="96"/>
      <c r="E39" s="96"/>
      <c r="F39" s="13">
        <v>0.01</v>
      </c>
      <c r="G39" s="13"/>
      <c r="H39" s="10">
        <f>PRODUCT(H36,F39)</f>
        <v>1878.8206412000002</v>
      </c>
      <c r="I39" s="6"/>
    </row>
    <row r="40" spans="1:9" x14ac:dyDescent="0.25">
      <c r="A40" s="6"/>
      <c r="B40" s="96" t="s">
        <v>26</v>
      </c>
      <c r="C40" s="96"/>
      <c r="D40" s="96"/>
      <c r="E40" s="96"/>
      <c r="F40" s="13">
        <v>5.0000000000000001E-3</v>
      </c>
      <c r="G40" s="13"/>
      <c r="H40" s="10">
        <f>PRODUCT(H36,F40)</f>
        <v>939.41032060000009</v>
      </c>
      <c r="I40" s="6"/>
    </row>
    <row r="41" spans="1:9" x14ac:dyDescent="0.25">
      <c r="A41" s="6"/>
      <c r="B41" s="96" t="s">
        <v>27</v>
      </c>
      <c r="C41" s="96"/>
      <c r="D41" s="96"/>
      <c r="E41" s="96"/>
      <c r="F41" s="13">
        <v>0.01</v>
      </c>
      <c r="G41" s="13"/>
      <c r="H41" s="10">
        <f>PRODUCT(H36,F41)</f>
        <v>1878.8206412000002</v>
      </c>
      <c r="I41" s="6"/>
    </row>
    <row r="42" spans="1:9" x14ac:dyDescent="0.25">
      <c r="A42" s="6"/>
      <c r="B42" s="96" t="s">
        <v>28</v>
      </c>
      <c r="C42" s="96"/>
      <c r="D42" s="96"/>
      <c r="E42" s="96"/>
      <c r="F42" s="13">
        <v>5.0000000000000001E-3</v>
      </c>
      <c r="G42" s="13"/>
      <c r="H42" s="10">
        <f>PRODUCT(H36,F42)</f>
        <v>939.41032060000009</v>
      </c>
      <c r="I42" s="6"/>
    </row>
    <row r="43" spans="1:9" x14ac:dyDescent="0.25">
      <c r="A43" s="6"/>
      <c r="B43" s="96" t="s">
        <v>29</v>
      </c>
      <c r="C43" s="96"/>
      <c r="D43" s="96"/>
      <c r="E43" s="96"/>
      <c r="F43" s="13">
        <v>5.0000000000000001E-3</v>
      </c>
      <c r="G43" s="13"/>
      <c r="H43" s="10">
        <f>PRODUCT(H36,F43)</f>
        <v>939.41032060000009</v>
      </c>
      <c r="I43" s="6"/>
    </row>
    <row r="44" spans="1:9" x14ac:dyDescent="0.25">
      <c r="A44" s="6"/>
      <c r="B44" s="96" t="s">
        <v>30</v>
      </c>
      <c r="C44" s="96"/>
      <c r="D44" s="96"/>
      <c r="E44" s="96"/>
      <c r="F44" s="13">
        <v>5.0000000000000001E-3</v>
      </c>
      <c r="G44" s="13"/>
      <c r="H44" s="10">
        <f>PRODUCT(H36,F44)</f>
        <v>939.41032060000009</v>
      </c>
      <c r="I44" s="6"/>
    </row>
    <row r="45" spans="1:9" x14ac:dyDescent="0.25">
      <c r="A45" s="6"/>
      <c r="B45" s="96" t="s">
        <v>31</v>
      </c>
      <c r="C45" s="96"/>
      <c r="D45" s="96"/>
      <c r="E45" s="96"/>
      <c r="F45" s="13">
        <v>0.05</v>
      </c>
      <c r="G45" s="13"/>
      <c r="H45" s="10">
        <f>PRODUCT(H36,F45)</f>
        <v>9394.1032060000016</v>
      </c>
      <c r="I45" s="6"/>
    </row>
    <row r="46" spans="1:9" x14ac:dyDescent="0.25">
      <c r="A46" s="6"/>
      <c r="B46" s="96" t="s">
        <v>32</v>
      </c>
      <c r="C46" s="96"/>
      <c r="D46" s="96"/>
      <c r="E46" s="96"/>
      <c r="F46" s="13">
        <v>0.1</v>
      </c>
      <c r="G46" s="13"/>
      <c r="H46" s="10">
        <f>PRODUCT(H36,F46)</f>
        <v>18788.206412000003</v>
      </c>
      <c r="I46" s="6"/>
    </row>
    <row r="47" spans="1:9" x14ac:dyDescent="0.25">
      <c r="A47" s="9"/>
      <c r="B47" s="9"/>
      <c r="C47" s="9"/>
      <c r="D47" s="9"/>
      <c r="E47" s="9"/>
      <c r="F47" s="9"/>
      <c r="G47" s="9"/>
      <c r="H47" s="9"/>
      <c r="I47" s="9"/>
    </row>
    <row r="48" spans="1:9" x14ac:dyDescent="0.25">
      <c r="A48" s="9"/>
      <c r="B48" s="100" t="s">
        <v>37</v>
      </c>
      <c r="C48" s="100"/>
      <c r="D48" s="100"/>
      <c r="E48" s="100"/>
      <c r="F48" s="100"/>
      <c r="G48" s="15"/>
      <c r="H48" s="19">
        <f>SUM(H38:H46)</f>
        <v>38515.823144600006</v>
      </c>
      <c r="I48" s="9"/>
    </row>
    <row r="49" spans="1:9" x14ac:dyDescent="0.25">
      <c r="A49" s="9"/>
      <c r="B49" s="9"/>
      <c r="C49" s="9"/>
      <c r="D49" s="9"/>
      <c r="E49" s="9"/>
      <c r="F49" s="9"/>
      <c r="G49" s="9"/>
      <c r="H49" s="9"/>
      <c r="I49" s="9"/>
    </row>
    <row r="50" spans="1:9" x14ac:dyDescent="0.25">
      <c r="A50" s="9"/>
      <c r="B50" s="101" t="s">
        <v>149</v>
      </c>
      <c r="C50" s="101"/>
      <c r="D50" s="101"/>
      <c r="E50" s="101"/>
      <c r="F50" s="101"/>
      <c r="G50" s="20"/>
      <c r="H50" s="21">
        <f>SUM(H36,H48)</f>
        <v>226397.88726460002</v>
      </c>
      <c r="I50" s="9"/>
    </row>
    <row r="51" spans="1:9" x14ac:dyDescent="0.25">
      <c r="A51" s="9"/>
      <c r="B51" s="9"/>
      <c r="C51" s="9"/>
      <c r="D51" s="9"/>
      <c r="E51" s="9"/>
      <c r="F51" s="9"/>
      <c r="G51" s="9"/>
      <c r="H51" s="9"/>
      <c r="I51" s="9"/>
    </row>
    <row r="52" spans="1:9" x14ac:dyDescent="0.25">
      <c r="A52" s="9"/>
      <c r="B52" s="101" t="s">
        <v>42</v>
      </c>
      <c r="C52" s="101"/>
      <c r="D52" s="101"/>
      <c r="E52" s="101"/>
      <c r="F52" s="101"/>
      <c r="G52" s="20"/>
      <c r="H52" s="21">
        <f>CEILING(H50/D3,1)</f>
        <v>22640</v>
      </c>
      <c r="I52" s="9"/>
    </row>
  </sheetData>
  <mergeCells count="20">
    <mergeCell ref="B50:F50"/>
    <mergeCell ref="B52:F52"/>
    <mergeCell ref="B30:C30"/>
    <mergeCell ref="B42:E42"/>
    <mergeCell ref="B43:E43"/>
    <mergeCell ref="B44:E44"/>
    <mergeCell ref="B45:E45"/>
    <mergeCell ref="B46:E46"/>
    <mergeCell ref="B48:F48"/>
    <mergeCell ref="B36:F36"/>
    <mergeCell ref="B38:E38"/>
    <mergeCell ref="B39:E39"/>
    <mergeCell ref="B40:E40"/>
    <mergeCell ref="B41:E41"/>
    <mergeCell ref="B3:C3"/>
    <mergeCell ref="B6:C6"/>
    <mergeCell ref="B13:C13"/>
    <mergeCell ref="D13:F13"/>
    <mergeCell ref="B23:C23"/>
    <mergeCell ref="D23:F23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1BE61-9986-C944-A6D6-B705BD0E1A54}">
  <dimension ref="A1:I52"/>
  <sheetViews>
    <sheetView view="pageBreakPreview" zoomScaleNormal="75" zoomScaleSheetLayoutView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11" defaultRowHeight="15.75" x14ac:dyDescent="0.25"/>
  <cols>
    <col min="1" max="1" width="12.875" customWidth="1"/>
    <col min="2" max="2" width="25.875" customWidth="1"/>
    <col min="3" max="3" width="40.875" customWidth="1"/>
    <col min="4" max="4" width="12.875" customWidth="1"/>
    <col min="6" max="6" width="12.875" customWidth="1"/>
    <col min="8" max="8" width="15.875" customWidth="1"/>
    <col min="9" max="9" width="30.875" customWidth="1"/>
  </cols>
  <sheetData>
    <row r="1" spans="1:9" x14ac:dyDescent="0.25">
      <c r="A1" s="17" t="s">
        <v>50</v>
      </c>
      <c r="B1" s="14" t="s">
        <v>61</v>
      </c>
      <c r="C1" s="14"/>
      <c r="D1" s="9"/>
      <c r="E1" s="9"/>
      <c r="F1" s="9"/>
      <c r="G1" s="9"/>
      <c r="H1" s="9"/>
      <c r="I1" s="9"/>
    </row>
    <row r="2" spans="1:9" x14ac:dyDescent="0.25">
      <c r="A2" s="6"/>
      <c r="B2" s="14" t="s">
        <v>131</v>
      </c>
      <c r="C2" s="14"/>
      <c r="D2" s="9"/>
      <c r="E2" s="9"/>
      <c r="F2" s="9"/>
      <c r="G2" s="9"/>
      <c r="H2" s="9"/>
      <c r="I2" s="9"/>
    </row>
    <row r="3" spans="1:9" x14ac:dyDescent="0.25">
      <c r="A3" s="9"/>
      <c r="B3" s="97" t="s">
        <v>41</v>
      </c>
      <c r="C3" s="97"/>
      <c r="D3" s="7">
        <v>10</v>
      </c>
      <c r="E3" s="7" t="s">
        <v>40</v>
      </c>
      <c r="F3" s="7"/>
      <c r="G3" s="7"/>
      <c r="H3" s="7"/>
      <c r="I3" s="7"/>
    </row>
    <row r="4" spans="1:9" x14ac:dyDescent="0.25">
      <c r="A4" s="9"/>
      <c r="B4" s="23"/>
      <c r="C4" s="23"/>
      <c r="D4" s="7"/>
      <c r="E4" s="7"/>
      <c r="F4" s="7"/>
      <c r="G4" s="7"/>
      <c r="H4" s="7"/>
      <c r="I4" s="7"/>
    </row>
    <row r="5" spans="1:9" x14ac:dyDescent="0.25">
      <c r="A5" s="17" t="s">
        <v>19</v>
      </c>
      <c r="B5" s="17" t="s">
        <v>108</v>
      </c>
      <c r="C5" s="17" t="s">
        <v>33</v>
      </c>
      <c r="D5" s="17" t="s">
        <v>23</v>
      </c>
      <c r="E5" s="17" t="s">
        <v>18</v>
      </c>
      <c r="F5" s="17" t="s">
        <v>49</v>
      </c>
      <c r="G5" s="17" t="s">
        <v>46</v>
      </c>
      <c r="H5" s="17" t="s">
        <v>34</v>
      </c>
      <c r="I5" s="17" t="s">
        <v>35</v>
      </c>
    </row>
    <row r="6" spans="1:9" x14ac:dyDescent="0.25">
      <c r="A6" s="17"/>
      <c r="B6" s="98" t="s">
        <v>17</v>
      </c>
      <c r="C6" s="98"/>
      <c r="D6" s="18"/>
      <c r="E6" s="18"/>
      <c r="F6" s="18"/>
      <c r="G6" s="18"/>
      <c r="H6" s="17"/>
      <c r="I6" s="17"/>
    </row>
    <row r="7" spans="1:9" x14ac:dyDescent="0.25">
      <c r="A7" s="6" t="str">
        <f>'TN SOR data - Material'!A77</f>
        <v>M-0088</v>
      </c>
      <c r="B7" s="8" t="s">
        <v>106</v>
      </c>
      <c r="C7" s="29" t="str">
        <f>VLOOKUP(A7,Table24[#All],2,FALSE)</f>
        <v>HBGS Jelly 20mm size</v>
      </c>
      <c r="D7" s="28">
        <v>8.1999999999999993</v>
      </c>
      <c r="E7" s="8" t="s">
        <v>40</v>
      </c>
      <c r="F7" s="11">
        <f>VLOOKUP(A7,'TN SOR data - Material'!A:D,4,FALSE)</f>
        <v>1897.4</v>
      </c>
      <c r="G7" s="135" t="str">
        <f>VLOOKUP(A7,Table24[],3,FALSE)</f>
        <v>Cu.M</v>
      </c>
      <c r="H7" s="10">
        <f t="shared" ref="H7:H11" si="0">PRODUCT(D7,F7)</f>
        <v>15558.68</v>
      </c>
      <c r="I7" s="6"/>
    </row>
    <row r="8" spans="1:9" x14ac:dyDescent="0.25">
      <c r="A8" s="6" t="str">
        <f>'TN SOR data - Material'!A94</f>
        <v>M-0125</v>
      </c>
      <c r="B8" s="8" t="s">
        <v>107</v>
      </c>
      <c r="C8" s="29" t="str">
        <f>VLOOKUP(A8,Table24[#All],2,FALSE)</f>
        <v>Crushed Stone Sand (Commercially called M-Sand)</v>
      </c>
      <c r="D8" s="28">
        <v>4.0999999999999996</v>
      </c>
      <c r="E8" s="8" t="s">
        <v>40</v>
      </c>
      <c r="F8" s="11">
        <f>VLOOKUP(A8,'TN SOR data - Material'!A:D,4,FALSE)</f>
        <v>1578.8</v>
      </c>
      <c r="G8" s="135" t="str">
        <f>VLOOKUP(A8,Table24[],3,FALSE)</f>
        <v>Cu.M</v>
      </c>
      <c r="H8" s="10">
        <f t="shared" si="0"/>
        <v>6473.079999999999</v>
      </c>
      <c r="I8" s="6"/>
    </row>
    <row r="9" spans="1:9" x14ac:dyDescent="0.25">
      <c r="A9" s="6" t="str">
        <f>'TN SOR data - Material'!A2</f>
        <v>M-0001</v>
      </c>
      <c r="B9" s="151" t="s">
        <v>811</v>
      </c>
      <c r="C9" s="29" t="str">
        <f>VLOOKUP(A9,Table24[#All],2,FALSE)</f>
        <v>Cement</v>
      </c>
      <c r="D9" s="28">
        <v>4.5</v>
      </c>
      <c r="E9" s="8" t="s">
        <v>114</v>
      </c>
      <c r="F9" s="11">
        <f>VLOOKUP(A9,'TN SOR data - Material'!A:D,4,FALSE)</f>
        <v>5602.5</v>
      </c>
      <c r="G9" s="135" t="str">
        <f>VLOOKUP(A9,Table24[],3,FALSE)</f>
        <v>MT</v>
      </c>
      <c r="H9" s="10">
        <f>PRODUCT(D9,F9)</f>
        <v>25211.25</v>
      </c>
      <c r="I9" s="6"/>
    </row>
    <row r="10" spans="1:9" ht="38.25" x14ac:dyDescent="0.25">
      <c r="A10" s="6" t="str">
        <f>'TN SOR data - Material'!A3</f>
        <v>M-0002</v>
      </c>
      <c r="B10" s="151" t="s">
        <v>795</v>
      </c>
      <c r="C10" s="29" t="str">
        <f>VLOOKUP(A10,Table24[#All],2,FALSE)</f>
        <v>Steel</v>
      </c>
      <c r="D10" s="28">
        <v>1.57</v>
      </c>
      <c r="E10" s="8" t="s">
        <v>114</v>
      </c>
      <c r="F10" s="11">
        <f>VLOOKUP(A10,'TN SOR data - Material'!A:D,4,FALSE)</f>
        <v>55665</v>
      </c>
      <c r="G10" s="135" t="str">
        <f>VLOOKUP(A10,Table24[],3,FALSE)</f>
        <v>MT</v>
      </c>
      <c r="H10" s="10">
        <f>PRODUCT(D10,F10)</f>
        <v>87394.05</v>
      </c>
      <c r="I10" s="153" t="s">
        <v>796</v>
      </c>
    </row>
    <row r="11" spans="1:9" x14ac:dyDescent="0.25">
      <c r="A11" s="6" t="str">
        <f>'TN SOR data - Material'!A167</f>
        <v>M-0189</v>
      </c>
      <c r="B11" s="151" t="s">
        <v>142</v>
      </c>
      <c r="C11" s="29" t="str">
        <f>VLOOKUP(A11,Table24[#All],2,FALSE)</f>
        <v>Binding Wire (Galvanised-18 G)</v>
      </c>
      <c r="D11" s="28">
        <v>2</v>
      </c>
      <c r="E11" s="8" t="s">
        <v>143</v>
      </c>
      <c r="F11" s="11">
        <f>VLOOKUP(A11,'TN SOR data - Material'!A:D,4,FALSE)</f>
        <v>56.35</v>
      </c>
      <c r="G11" s="135" t="str">
        <f>VLOOKUP(A11,Table24[],3,FALSE)</f>
        <v>Kg</v>
      </c>
      <c r="H11" s="10">
        <f>PRODUCT(D11,F11)</f>
        <v>112.7</v>
      </c>
      <c r="I11" s="6"/>
    </row>
    <row r="12" spans="1:9" x14ac:dyDescent="0.25">
      <c r="A12" s="6"/>
      <c r="B12" s="7"/>
      <c r="C12" s="7"/>
      <c r="D12" s="8"/>
      <c r="E12" s="8"/>
      <c r="F12" s="11"/>
      <c r="G12" s="11"/>
      <c r="H12" s="10"/>
      <c r="I12" s="6"/>
    </row>
    <row r="13" spans="1:9" x14ac:dyDescent="0.25">
      <c r="A13" s="17"/>
      <c r="B13" s="98" t="s">
        <v>38</v>
      </c>
      <c r="C13" s="98"/>
      <c r="D13" s="99"/>
      <c r="E13" s="99"/>
      <c r="F13" s="99"/>
      <c r="G13" s="22"/>
      <c r="H13" s="17"/>
      <c r="I13" s="17"/>
    </row>
    <row r="14" spans="1:9" x14ac:dyDescent="0.25">
      <c r="A14" s="6" t="str">
        <f>'TN SOR data - Labour'!A26</f>
        <v>L-0029</v>
      </c>
      <c r="B14" s="151" t="s">
        <v>148</v>
      </c>
      <c r="C14" s="29" t="str">
        <f>VLOOKUP(A14,'TN SOR data - Labour'!A:D,2,FALSE)</f>
        <v>Mason for Brick Work-I Class</v>
      </c>
      <c r="D14" s="8">
        <v>1</v>
      </c>
      <c r="E14" s="8" t="s">
        <v>47</v>
      </c>
      <c r="F14" s="11">
        <f>VLOOKUP(A14,'TN SOR data - Labour'!A:D,4,FALSE)</f>
        <v>1174</v>
      </c>
      <c r="G14" s="135" t="str">
        <f>VLOOKUP(A14,Table1[],3,FALSE)</f>
        <v>Day</v>
      </c>
      <c r="H14" s="10">
        <f>PRODUCT(D14,F14)</f>
        <v>1174</v>
      </c>
      <c r="I14" s="6"/>
    </row>
    <row r="15" spans="1:9" x14ac:dyDescent="0.25">
      <c r="A15" s="6" t="str">
        <f>'TN SOR data - Labour'!A26</f>
        <v>L-0029</v>
      </c>
      <c r="B15" s="151" t="s">
        <v>22</v>
      </c>
      <c r="C15" s="29" t="str">
        <f>VLOOKUP(A15,'TN SOR data - Labour'!A:D,2,FALSE)</f>
        <v>Mason for Brick Work-I Class</v>
      </c>
      <c r="D15" s="8">
        <v>3</v>
      </c>
      <c r="E15" s="8" t="s">
        <v>47</v>
      </c>
      <c r="F15" s="11">
        <f>VLOOKUP(A15,'TN SOR data - Labour'!A:D,4,FALSE)</f>
        <v>1174</v>
      </c>
      <c r="G15" s="135" t="str">
        <f>VLOOKUP(A15,Table1[],3,FALSE)</f>
        <v>Day</v>
      </c>
      <c r="H15" s="10">
        <f>PRODUCT(D15,F15)</f>
        <v>3522</v>
      </c>
      <c r="I15" s="6"/>
    </row>
    <row r="16" spans="1:9" x14ac:dyDescent="0.25">
      <c r="A16" s="6" t="str">
        <f>'TN SOR data - Labour'!A63</f>
        <v>L-0073</v>
      </c>
      <c r="B16" s="151" t="s">
        <v>44</v>
      </c>
      <c r="C16" s="29" t="str">
        <f>VLOOKUP(A16,'TN SOR data - Labour'!A:D,2,FALSE)</f>
        <v>Mazdoor Category-I</v>
      </c>
      <c r="D16" s="8">
        <v>4</v>
      </c>
      <c r="E16" s="8" t="s">
        <v>47</v>
      </c>
      <c r="F16" s="11">
        <f>VLOOKUP(A16,'TN SOR data - Labour'!A:D,4,FALSE)</f>
        <v>766</v>
      </c>
      <c r="G16" s="135" t="str">
        <f>VLOOKUP(A16,Table1[],3,FALSE)</f>
        <v>Day</v>
      </c>
      <c r="H16" s="10">
        <f t="shared" ref="H16" si="1">PRODUCT(D16,F16)</f>
        <v>3064</v>
      </c>
      <c r="I16" s="6"/>
    </row>
    <row r="17" spans="1:9" x14ac:dyDescent="0.25">
      <c r="A17" s="6" t="str">
        <f>'TN SOR data - Labour'!A85</f>
        <v>L-0098</v>
      </c>
      <c r="B17" s="151" t="s">
        <v>45</v>
      </c>
      <c r="C17" s="29" t="str">
        <f>VLOOKUP(A17,'TN SOR data - Labour'!A:D,2,FALSE)</f>
        <v>Mazdoor Category-II</v>
      </c>
      <c r="D17" s="8">
        <v>4</v>
      </c>
      <c r="E17" s="8" t="s">
        <v>47</v>
      </c>
      <c r="F17" s="11">
        <f>VLOOKUP(A17,'TN SOR data - Labour'!A:D,4,FALSE)</f>
        <v>628</v>
      </c>
      <c r="G17" s="135" t="str">
        <f>VLOOKUP(A17,Table1[],3,FALSE)</f>
        <v>Day</v>
      </c>
      <c r="H17" s="10">
        <f>PRODUCT(D17,F17)</f>
        <v>2512</v>
      </c>
      <c r="I17" s="6"/>
    </row>
    <row r="18" spans="1:9" ht="25.5" x14ac:dyDescent="0.25">
      <c r="A18" s="6" t="str">
        <f>'TN SOR data - Labour'!A52</f>
        <v>L-0060</v>
      </c>
      <c r="B18" s="151" t="s">
        <v>798</v>
      </c>
      <c r="C18" s="29" t="str">
        <f>VLOOKUP(A18,'TN SOR data - Labour'!A:D,2,FALSE)</f>
        <v>Blacksmith-II Class</v>
      </c>
      <c r="D18" s="8">
        <v>8</v>
      </c>
      <c r="E18" s="8" t="s">
        <v>47</v>
      </c>
      <c r="F18" s="11">
        <f>VLOOKUP(A18,'TN SOR data - Labour'!A:D,4,FALSE)</f>
        <v>867</v>
      </c>
      <c r="G18" s="135" t="str">
        <f>VLOOKUP(A18,Table1[],3,FALSE)</f>
        <v>Day</v>
      </c>
      <c r="H18" s="10">
        <f t="shared" ref="H18:H21" si="2">PRODUCT(D18,F18)</f>
        <v>6936</v>
      </c>
      <c r="I18" s="6"/>
    </row>
    <row r="19" spans="1:9" x14ac:dyDescent="0.25">
      <c r="A19" s="6" t="str">
        <f>'TN SOR data - Labour'!A85</f>
        <v>L-0098</v>
      </c>
      <c r="B19" s="151" t="s">
        <v>799</v>
      </c>
      <c r="C19" s="29" t="str">
        <f>VLOOKUP(A19,'TN SOR data - Labour'!A:D,2,FALSE)</f>
        <v>Mazdoor Category-II</v>
      </c>
      <c r="D19" s="8">
        <v>8</v>
      </c>
      <c r="E19" s="8" t="s">
        <v>47</v>
      </c>
      <c r="F19" s="11">
        <f>VLOOKUP(A19,'TN SOR data - Labour'!A:D,4,FALSE)</f>
        <v>628</v>
      </c>
      <c r="G19" s="135" t="str">
        <f>VLOOKUP(A19,Table1[],3,FALSE)</f>
        <v>Day</v>
      </c>
      <c r="H19" s="10">
        <f t="shared" si="2"/>
        <v>5024</v>
      </c>
      <c r="I19" s="6"/>
    </row>
    <row r="20" spans="1:9" ht="25.5" x14ac:dyDescent="0.25">
      <c r="A20" s="6" t="str">
        <f>'TN SOR data - Labour'!A55</f>
        <v>L-0063</v>
      </c>
      <c r="B20" s="151" t="s">
        <v>800</v>
      </c>
      <c r="C20" s="29" t="str">
        <f>VLOOKUP(A20,'TN SOR data - Labour'!A:D,2,FALSE)</f>
        <v>Carpenter-II Class</v>
      </c>
      <c r="D20" s="8">
        <v>10</v>
      </c>
      <c r="E20" s="8" t="s">
        <v>47</v>
      </c>
      <c r="F20" s="11">
        <f>VLOOKUP(A20,'TN SOR data - Labour'!A:D,4,FALSE)</f>
        <v>1096</v>
      </c>
      <c r="G20" s="135" t="str">
        <f>VLOOKUP(A20,Table1[],3,FALSE)</f>
        <v>Day</v>
      </c>
      <c r="H20" s="10">
        <f t="shared" si="2"/>
        <v>10960</v>
      </c>
      <c r="I20" s="6"/>
    </row>
    <row r="21" spans="1:9" ht="25.5" x14ac:dyDescent="0.25">
      <c r="A21" s="6" t="str">
        <f>'TN SOR data - Labour'!A85</f>
        <v>L-0098</v>
      </c>
      <c r="B21" s="151" t="s">
        <v>801</v>
      </c>
      <c r="C21" s="29" t="str">
        <f>VLOOKUP(A21,'TN SOR data - Labour'!A:D,2,FALSE)</f>
        <v>Mazdoor Category-II</v>
      </c>
      <c r="D21" s="8">
        <v>10</v>
      </c>
      <c r="E21" s="8" t="s">
        <v>47</v>
      </c>
      <c r="F21" s="11">
        <f>VLOOKUP(A21,'TN SOR data - Labour'!A:D,4,FALSE)</f>
        <v>628</v>
      </c>
      <c r="G21" s="135" t="str">
        <f>VLOOKUP(A21,Table1[],3,FALSE)</f>
        <v>Day</v>
      </c>
      <c r="H21" s="10">
        <f t="shared" si="2"/>
        <v>6280</v>
      </c>
      <c r="I21" s="6"/>
    </row>
    <row r="22" spans="1:9" x14ac:dyDescent="0.25">
      <c r="A22" s="6"/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17"/>
      <c r="B23" s="98" t="s">
        <v>39</v>
      </c>
      <c r="C23" s="98"/>
      <c r="D23" s="99"/>
      <c r="E23" s="99"/>
      <c r="F23" s="99"/>
      <c r="G23" s="22"/>
      <c r="H23" s="17"/>
      <c r="I23" s="17"/>
    </row>
    <row r="24" spans="1:9" x14ac:dyDescent="0.25">
      <c r="A24" s="6" t="str">
        <f>'SOR data - Equipment'!A15</f>
        <v>H-0110</v>
      </c>
      <c r="B24" s="8" t="s">
        <v>109</v>
      </c>
      <c r="C24" s="151" t="str">
        <f>VLOOKUP(A24,'SOR data - Equipment'!A:D,2,FALSE)</f>
        <v>Mixer Machine with Hopper</v>
      </c>
      <c r="D24" s="8">
        <v>0.75</v>
      </c>
      <c r="E24" s="8" t="s">
        <v>47</v>
      </c>
      <c r="F24" s="11">
        <f>VLOOKUP(A24,'SOR data - Equipment'!A:D,4,FALSE)</f>
        <v>1500</v>
      </c>
      <c r="G24" s="135" t="str">
        <f>VLOOKUP(A24,'SOR data - Equipment'!A:D,3,FALSE)</f>
        <v>Day</v>
      </c>
      <c r="H24" s="10">
        <f>PRODUCT(D24,F24)</f>
        <v>1125</v>
      </c>
      <c r="I24" s="6"/>
    </row>
    <row r="25" spans="1:9" ht="25.5" x14ac:dyDescent="0.25">
      <c r="A25" s="6" t="str">
        <f>'SOR data - Equipment'!A14</f>
        <v>H-0109</v>
      </c>
      <c r="B25" s="8" t="s">
        <v>110</v>
      </c>
      <c r="C25" s="151" t="str">
        <f>VLOOKUP(A25,'SOR data - Equipment'!A:D,2,FALSE)</f>
        <v>Hire Charges for Surface Vibrator or Earth Rammer including Fuel</v>
      </c>
      <c r="D25" s="8">
        <v>1</v>
      </c>
      <c r="E25" s="8" t="s">
        <v>48</v>
      </c>
      <c r="F25" s="11">
        <f>VLOOKUP(A25,'SOR data - Equipment'!A:D,4,FALSE)</f>
        <v>1000</v>
      </c>
      <c r="G25" s="135" t="str">
        <f>VLOOKUP(A25,'SOR data - Equipment'!A:D,3,FALSE)</f>
        <v>Day</v>
      </c>
      <c r="H25" s="10">
        <f>PRODUCT(D25,F25)</f>
        <v>1000</v>
      </c>
      <c r="I25" s="6"/>
    </row>
    <row r="26" spans="1:9" x14ac:dyDescent="0.25">
      <c r="A26" s="6" t="str">
        <f>'SOR data - Equipment'!A24</f>
        <v>H-0119</v>
      </c>
      <c r="B26" s="8" t="s">
        <v>111</v>
      </c>
      <c r="C26" s="151" t="str">
        <f>VLOOKUP(A26,'SOR data - Equipment'!A:D,2,FALSE)</f>
        <v>Hire charges for Concrete Formwork</v>
      </c>
      <c r="D26" s="8">
        <v>1</v>
      </c>
      <c r="E26" s="8" t="s">
        <v>48</v>
      </c>
      <c r="F26" s="11">
        <f>VLOOKUP(A26,'SOR data - Equipment'!A:D,4,FALSE)</f>
        <v>2500</v>
      </c>
      <c r="G26" s="135" t="str">
        <f>VLOOKUP(A26,'SOR data - Equipment'!A:D,3,FALSE)</f>
        <v>Day</v>
      </c>
      <c r="H26" s="10">
        <f>PRODUCT(D26,F26)</f>
        <v>2500</v>
      </c>
      <c r="I26" s="6"/>
    </row>
    <row r="27" spans="1:9" x14ac:dyDescent="0.25">
      <c r="A27" s="6" t="str">
        <f>'SOR data - Equipment'!A25</f>
        <v>H-0120</v>
      </c>
      <c r="B27" s="8" t="s">
        <v>112</v>
      </c>
      <c r="C27" s="151" t="str">
        <f>VLOOKUP(A27,'SOR data - Equipment'!A:D,2,FALSE)</f>
        <v>Hire charges for Concrete Shuttering</v>
      </c>
      <c r="D27" s="8">
        <v>1</v>
      </c>
      <c r="E27" s="8" t="s">
        <v>48</v>
      </c>
      <c r="F27" s="11">
        <f>VLOOKUP(A27,'SOR data - Equipment'!A:D,4,FALSE)</f>
        <v>3000</v>
      </c>
      <c r="G27" s="135" t="str">
        <f>VLOOKUP(A27,'SOR data - Equipment'!A:D,3,FALSE)</f>
        <v>Day</v>
      </c>
      <c r="H27" s="10">
        <f>PRODUCT(D27,F27)</f>
        <v>3000</v>
      </c>
      <c r="I27" s="6"/>
    </row>
    <row r="28" spans="1:9" x14ac:dyDescent="0.25">
      <c r="A28" s="6" t="str">
        <f>'SOR data - Equipment'!A26</f>
        <v>H-0121</v>
      </c>
      <c r="B28" s="8" t="s">
        <v>140</v>
      </c>
      <c r="C28" s="151" t="str">
        <f>VLOOKUP(A28,'SOR data - Equipment'!A:D,2,FALSE)</f>
        <v>Hire charges for Concrete Tools and Tackles</v>
      </c>
      <c r="D28" s="8">
        <v>1</v>
      </c>
      <c r="E28" s="8" t="s">
        <v>48</v>
      </c>
      <c r="F28" s="11">
        <f>VLOOKUP(A28,'SOR data - Equipment'!A:D,4,FALSE)</f>
        <v>2000</v>
      </c>
      <c r="G28" s="135" t="str">
        <f>VLOOKUP(A28,'SOR data - Equipment'!A:D,3,FALSE)</f>
        <v>Day</v>
      </c>
      <c r="H28" s="10">
        <f>PRODUCT(D28,F28)</f>
        <v>2000</v>
      </c>
      <c r="I28" s="6"/>
    </row>
    <row r="29" spans="1:9" x14ac:dyDescent="0.25">
      <c r="A29" s="6"/>
      <c r="B29" s="8"/>
      <c r="C29" s="8"/>
      <c r="D29" s="8"/>
      <c r="E29" s="8"/>
      <c r="F29" s="11"/>
      <c r="G29" s="11"/>
      <c r="H29" s="10"/>
      <c r="I29" s="6"/>
    </row>
    <row r="30" spans="1:9" x14ac:dyDescent="0.25">
      <c r="A30" s="12"/>
      <c r="B30" s="98" t="s">
        <v>180</v>
      </c>
      <c r="C30" s="98"/>
      <c r="D30" s="8"/>
      <c r="E30" s="8"/>
      <c r="F30" s="11"/>
      <c r="G30" s="11"/>
      <c r="H30" s="10"/>
      <c r="I30" s="6"/>
    </row>
    <row r="31" spans="1:9" x14ac:dyDescent="0.25">
      <c r="A31" s="12"/>
      <c r="B31" s="151" t="str">
        <f>'LEAD &amp; LIFT'!A22</f>
        <v>Course Aggregate</v>
      </c>
      <c r="C31" s="8"/>
      <c r="D31" s="28">
        <f>D7</f>
        <v>8.1999999999999993</v>
      </c>
      <c r="E31" s="28" t="str">
        <f>E7</f>
        <v>Cu.M</v>
      </c>
      <c r="F31" s="11">
        <f>VLOOKUP(B31,Table13[#All],5,FALSE)</f>
        <v>307.2</v>
      </c>
      <c r="G31" s="28" t="str">
        <f>G7</f>
        <v>Cu.M</v>
      </c>
      <c r="H31" s="10">
        <f>(F31*D31)</f>
        <v>2519.0399999999995</v>
      </c>
      <c r="I31" s="6"/>
    </row>
    <row r="32" spans="1:9" x14ac:dyDescent="0.25">
      <c r="A32" s="12"/>
      <c r="B32" s="151" t="str">
        <f>'LEAD &amp; LIFT'!A23</f>
        <v>Fine Aggregate</v>
      </c>
      <c r="C32" s="8"/>
      <c r="D32" s="28">
        <f>D8</f>
        <v>4.0999999999999996</v>
      </c>
      <c r="E32" s="28" t="str">
        <f>E8</f>
        <v>Cu.M</v>
      </c>
      <c r="F32" s="11">
        <f>VLOOKUP(B32,Table13[#All],5,FALSE)</f>
        <v>350.55</v>
      </c>
      <c r="G32" s="28" t="str">
        <f>G8</f>
        <v>Cu.M</v>
      </c>
      <c r="H32" s="10">
        <f>(F32*D32)</f>
        <v>1437.2549999999999</v>
      </c>
      <c r="I32" s="6"/>
    </row>
    <row r="33" spans="1:9" x14ac:dyDescent="0.25">
      <c r="A33" s="12"/>
      <c r="B33" s="151" t="str">
        <f>'LEAD &amp; LIFT'!A20</f>
        <v>Cement</v>
      </c>
      <c r="C33" s="8"/>
      <c r="D33" s="28">
        <f>D9</f>
        <v>4.5</v>
      </c>
      <c r="E33" s="28" t="str">
        <f>E9</f>
        <v>MT</v>
      </c>
      <c r="F33" s="11">
        <f>VLOOKUP(B33,Table13[#All],5,FALSE)</f>
        <v>376.06</v>
      </c>
      <c r="G33" s="28" t="str">
        <f>G9</f>
        <v>MT</v>
      </c>
      <c r="H33" s="10">
        <f>(F33*D33)</f>
        <v>1692.27</v>
      </c>
      <c r="I33" s="6"/>
    </row>
    <row r="34" spans="1:9" x14ac:dyDescent="0.25">
      <c r="A34" s="12"/>
      <c r="B34" s="151" t="str">
        <f>'LEAD &amp; LIFT'!A21</f>
        <v>Steel</v>
      </c>
      <c r="C34" s="8"/>
      <c r="D34" s="28">
        <f>D10</f>
        <v>1.57</v>
      </c>
      <c r="E34" s="28" t="str">
        <f>E10</f>
        <v>MT</v>
      </c>
      <c r="F34" s="11">
        <f>VLOOKUP(B34,Table13[#All],5,FALSE)</f>
        <v>350.86</v>
      </c>
      <c r="G34" s="28" t="str">
        <f>G10</f>
        <v>MT</v>
      </c>
      <c r="H34" s="10">
        <f>(F34*D34)</f>
        <v>550.85020000000009</v>
      </c>
      <c r="I34" s="6"/>
    </row>
    <row r="35" spans="1:9" x14ac:dyDescent="0.25">
      <c r="A35" s="6"/>
      <c r="B35" s="8"/>
      <c r="C35" s="8"/>
      <c r="D35" s="8"/>
      <c r="E35" s="8"/>
      <c r="F35" s="11"/>
      <c r="G35" s="11"/>
      <c r="H35" s="10"/>
      <c r="I35" s="6"/>
    </row>
    <row r="36" spans="1:9" x14ac:dyDescent="0.25">
      <c r="A36" s="6"/>
      <c r="B36" s="100" t="s">
        <v>36</v>
      </c>
      <c r="C36" s="100"/>
      <c r="D36" s="100"/>
      <c r="E36" s="100"/>
      <c r="F36" s="100"/>
      <c r="G36" s="15"/>
      <c r="H36" s="19">
        <f>SUM(H7:H11,H14:H21,H24:H28,H31:H34)</f>
        <v>190046.1752</v>
      </c>
      <c r="I36" s="8"/>
    </row>
    <row r="37" spans="1:9" x14ac:dyDescent="0.25">
      <c r="A37" s="6"/>
      <c r="B37" s="6"/>
      <c r="C37" s="6"/>
      <c r="D37" s="6"/>
      <c r="E37" s="6"/>
      <c r="F37" s="6"/>
      <c r="G37" s="6"/>
      <c r="H37" s="6"/>
      <c r="I37" s="6"/>
    </row>
    <row r="38" spans="1:9" x14ac:dyDescent="0.25">
      <c r="A38" s="6"/>
      <c r="B38" s="96" t="s">
        <v>24</v>
      </c>
      <c r="C38" s="96"/>
      <c r="D38" s="96"/>
      <c r="E38" s="96"/>
      <c r="F38" s="13">
        <v>1.4999999999999999E-2</v>
      </c>
      <c r="G38" s="13"/>
      <c r="H38" s="10">
        <f>PRODUCT(H36,F38)</f>
        <v>2850.6926279999998</v>
      </c>
      <c r="I38" s="6"/>
    </row>
    <row r="39" spans="1:9" x14ac:dyDescent="0.25">
      <c r="A39" s="6"/>
      <c r="B39" s="96" t="s">
        <v>25</v>
      </c>
      <c r="C39" s="96"/>
      <c r="D39" s="96"/>
      <c r="E39" s="96"/>
      <c r="F39" s="13">
        <v>0.01</v>
      </c>
      <c r="G39" s="13"/>
      <c r="H39" s="10">
        <f>PRODUCT(H36,F39)</f>
        <v>1900.4617519999999</v>
      </c>
      <c r="I39" s="6"/>
    </row>
    <row r="40" spans="1:9" x14ac:dyDescent="0.25">
      <c r="A40" s="6"/>
      <c r="B40" s="96" t="s">
        <v>26</v>
      </c>
      <c r="C40" s="96"/>
      <c r="D40" s="96"/>
      <c r="E40" s="96"/>
      <c r="F40" s="13">
        <v>5.0000000000000001E-3</v>
      </c>
      <c r="G40" s="13"/>
      <c r="H40" s="10">
        <f>PRODUCT(H36,F40)</f>
        <v>950.23087599999997</v>
      </c>
      <c r="I40" s="6"/>
    </row>
    <row r="41" spans="1:9" x14ac:dyDescent="0.25">
      <c r="A41" s="6"/>
      <c r="B41" s="96" t="s">
        <v>27</v>
      </c>
      <c r="C41" s="96"/>
      <c r="D41" s="96"/>
      <c r="E41" s="96"/>
      <c r="F41" s="13">
        <v>0.01</v>
      </c>
      <c r="G41" s="13"/>
      <c r="H41" s="10">
        <f>PRODUCT(H36,F41)</f>
        <v>1900.4617519999999</v>
      </c>
      <c r="I41" s="6"/>
    </row>
    <row r="42" spans="1:9" x14ac:dyDescent="0.25">
      <c r="A42" s="6"/>
      <c r="B42" s="96" t="s">
        <v>28</v>
      </c>
      <c r="C42" s="96"/>
      <c r="D42" s="96"/>
      <c r="E42" s="96"/>
      <c r="F42" s="13">
        <v>5.0000000000000001E-3</v>
      </c>
      <c r="G42" s="13"/>
      <c r="H42" s="10">
        <f>PRODUCT(H36,F42)</f>
        <v>950.23087599999997</v>
      </c>
      <c r="I42" s="6"/>
    </row>
    <row r="43" spans="1:9" x14ac:dyDescent="0.25">
      <c r="A43" s="6"/>
      <c r="B43" s="96" t="s">
        <v>29</v>
      </c>
      <c r="C43" s="96"/>
      <c r="D43" s="96"/>
      <c r="E43" s="96"/>
      <c r="F43" s="13">
        <v>5.0000000000000001E-3</v>
      </c>
      <c r="G43" s="13"/>
      <c r="H43" s="10">
        <f>PRODUCT(H36,F43)</f>
        <v>950.23087599999997</v>
      </c>
      <c r="I43" s="6"/>
    </row>
    <row r="44" spans="1:9" x14ac:dyDescent="0.25">
      <c r="A44" s="6"/>
      <c r="B44" s="96" t="s">
        <v>30</v>
      </c>
      <c r="C44" s="96"/>
      <c r="D44" s="96"/>
      <c r="E44" s="96"/>
      <c r="F44" s="13">
        <v>5.0000000000000001E-3</v>
      </c>
      <c r="G44" s="13"/>
      <c r="H44" s="10">
        <f>PRODUCT(H36,F44)</f>
        <v>950.23087599999997</v>
      </c>
      <c r="I44" s="6"/>
    </row>
    <row r="45" spans="1:9" x14ac:dyDescent="0.25">
      <c r="A45" s="6"/>
      <c r="B45" s="96" t="s">
        <v>31</v>
      </c>
      <c r="C45" s="96"/>
      <c r="D45" s="96"/>
      <c r="E45" s="96"/>
      <c r="F45" s="13">
        <v>0.05</v>
      </c>
      <c r="G45" s="13"/>
      <c r="H45" s="10">
        <f>PRODUCT(H36,F45)</f>
        <v>9502.3087599999999</v>
      </c>
      <c r="I45" s="6"/>
    </row>
    <row r="46" spans="1:9" x14ac:dyDescent="0.25">
      <c r="A46" s="6"/>
      <c r="B46" s="96" t="s">
        <v>32</v>
      </c>
      <c r="C46" s="96"/>
      <c r="D46" s="96"/>
      <c r="E46" s="96"/>
      <c r="F46" s="13">
        <v>0.1</v>
      </c>
      <c r="G46" s="13"/>
      <c r="H46" s="10">
        <f>PRODUCT(H36,F46)</f>
        <v>19004.61752</v>
      </c>
      <c r="I46" s="6"/>
    </row>
    <row r="47" spans="1:9" x14ac:dyDescent="0.25">
      <c r="A47" s="9"/>
      <c r="B47" s="9"/>
      <c r="C47" s="9"/>
      <c r="D47" s="9"/>
      <c r="E47" s="9"/>
      <c r="F47" s="9"/>
      <c r="G47" s="9"/>
      <c r="H47" s="9"/>
      <c r="I47" s="9"/>
    </row>
    <row r="48" spans="1:9" x14ac:dyDescent="0.25">
      <c r="A48" s="9"/>
      <c r="B48" s="100" t="s">
        <v>37</v>
      </c>
      <c r="C48" s="100"/>
      <c r="D48" s="100"/>
      <c r="E48" s="100"/>
      <c r="F48" s="100"/>
      <c r="G48" s="15"/>
      <c r="H48" s="19">
        <f>SUM(H38:H46)</f>
        <v>38959.465916000001</v>
      </c>
      <c r="I48" s="9"/>
    </row>
    <row r="49" spans="1:9" x14ac:dyDescent="0.25">
      <c r="A49" s="9"/>
      <c r="B49" s="9"/>
      <c r="C49" s="9"/>
      <c r="D49" s="9"/>
      <c r="E49" s="9"/>
      <c r="F49" s="9"/>
      <c r="G49" s="9"/>
      <c r="H49" s="9"/>
      <c r="I49" s="9"/>
    </row>
    <row r="50" spans="1:9" x14ac:dyDescent="0.25">
      <c r="A50" s="9"/>
      <c r="B50" s="101" t="s">
        <v>149</v>
      </c>
      <c r="C50" s="101"/>
      <c r="D50" s="101"/>
      <c r="E50" s="101"/>
      <c r="F50" s="101"/>
      <c r="G50" s="20"/>
      <c r="H50" s="21">
        <f>SUM(H36,H48)</f>
        <v>229005.64111600001</v>
      </c>
      <c r="I50" s="9"/>
    </row>
    <row r="51" spans="1:9" x14ac:dyDescent="0.25">
      <c r="A51" s="9"/>
      <c r="B51" s="9"/>
      <c r="C51" s="9"/>
      <c r="D51" s="9"/>
      <c r="E51" s="9"/>
      <c r="F51" s="9"/>
      <c r="G51" s="9"/>
      <c r="H51" s="9"/>
      <c r="I51" s="9"/>
    </row>
    <row r="52" spans="1:9" x14ac:dyDescent="0.25">
      <c r="A52" s="9"/>
      <c r="B52" s="101" t="s">
        <v>42</v>
      </c>
      <c r="C52" s="101"/>
      <c r="D52" s="101"/>
      <c r="E52" s="101"/>
      <c r="F52" s="101"/>
      <c r="G52" s="20"/>
      <c r="H52" s="21">
        <f>CEILING(H50/D3,1)</f>
        <v>22901</v>
      </c>
      <c r="I52" s="9"/>
    </row>
  </sheetData>
  <mergeCells count="20">
    <mergeCell ref="B52:F52"/>
    <mergeCell ref="B43:E43"/>
    <mergeCell ref="B44:E44"/>
    <mergeCell ref="B45:E45"/>
    <mergeCell ref="B46:E46"/>
    <mergeCell ref="B48:F48"/>
    <mergeCell ref="B50:F50"/>
    <mergeCell ref="B42:E42"/>
    <mergeCell ref="B3:C3"/>
    <mergeCell ref="B6:C6"/>
    <mergeCell ref="B13:C13"/>
    <mergeCell ref="D13:F13"/>
    <mergeCell ref="B23:C23"/>
    <mergeCell ref="D23:F23"/>
    <mergeCell ref="B36:F36"/>
    <mergeCell ref="B39:E39"/>
    <mergeCell ref="B40:E40"/>
    <mergeCell ref="B41:E41"/>
    <mergeCell ref="B38:E38"/>
    <mergeCell ref="B30:C3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62242-85E1-5448-954B-3A10F5BDD301}">
  <dimension ref="A1:I52"/>
  <sheetViews>
    <sheetView view="pageBreakPreview" zoomScaleNormal="75" zoomScaleSheetLayoutView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11" defaultRowHeight="15.75" x14ac:dyDescent="0.25"/>
  <cols>
    <col min="1" max="1" width="12.875" customWidth="1"/>
    <col min="2" max="2" width="25.875" customWidth="1"/>
    <col min="3" max="3" width="40.875" customWidth="1"/>
    <col min="4" max="4" width="12.875" customWidth="1"/>
    <col min="6" max="6" width="12.875" customWidth="1"/>
    <col min="8" max="8" width="15.875" customWidth="1"/>
    <col min="9" max="9" width="30.875" customWidth="1"/>
  </cols>
  <sheetData>
    <row r="1" spans="1:9" x14ac:dyDescent="0.25">
      <c r="A1" s="17" t="s">
        <v>50</v>
      </c>
      <c r="B1" s="14" t="s">
        <v>62</v>
      </c>
      <c r="C1" s="14"/>
      <c r="D1" s="9"/>
      <c r="E1" s="9"/>
      <c r="F1" s="9"/>
      <c r="G1" s="9"/>
      <c r="H1" s="9"/>
      <c r="I1" s="9"/>
    </row>
    <row r="2" spans="1:9" x14ac:dyDescent="0.25">
      <c r="A2" s="6"/>
      <c r="B2" s="14" t="s">
        <v>132</v>
      </c>
      <c r="C2" s="14"/>
      <c r="D2" s="9"/>
      <c r="E2" s="9"/>
      <c r="F2" s="9"/>
      <c r="G2" s="9"/>
      <c r="H2" s="9"/>
      <c r="I2" s="9"/>
    </row>
    <row r="3" spans="1:9" x14ac:dyDescent="0.25">
      <c r="A3" s="9"/>
      <c r="B3" s="97" t="s">
        <v>41</v>
      </c>
      <c r="C3" s="97"/>
      <c r="D3" s="7">
        <v>10</v>
      </c>
      <c r="E3" s="7" t="s">
        <v>40</v>
      </c>
      <c r="F3" s="7"/>
      <c r="G3" s="7"/>
      <c r="H3" s="7"/>
      <c r="I3" s="7"/>
    </row>
    <row r="4" spans="1:9" x14ac:dyDescent="0.25">
      <c r="A4" s="9"/>
      <c r="B4" s="23"/>
      <c r="C4" s="23"/>
      <c r="D4" s="7"/>
      <c r="E4" s="7"/>
      <c r="F4" s="7"/>
      <c r="G4" s="7"/>
      <c r="H4" s="7"/>
      <c r="I4" s="7"/>
    </row>
    <row r="5" spans="1:9" x14ac:dyDescent="0.25">
      <c r="A5" s="17" t="s">
        <v>19</v>
      </c>
      <c r="B5" s="17" t="s">
        <v>108</v>
      </c>
      <c r="C5" s="17" t="s">
        <v>33</v>
      </c>
      <c r="D5" s="17" t="s">
        <v>23</v>
      </c>
      <c r="E5" s="17" t="s">
        <v>18</v>
      </c>
      <c r="F5" s="17" t="s">
        <v>49</v>
      </c>
      <c r="G5" s="17" t="s">
        <v>46</v>
      </c>
      <c r="H5" s="17" t="s">
        <v>34</v>
      </c>
      <c r="I5" s="17" t="s">
        <v>35</v>
      </c>
    </row>
    <row r="6" spans="1:9" x14ac:dyDescent="0.25">
      <c r="A6" s="17"/>
      <c r="B6" s="98" t="s">
        <v>17</v>
      </c>
      <c r="C6" s="98"/>
      <c r="D6" s="18"/>
      <c r="E6" s="18"/>
      <c r="F6" s="18"/>
      <c r="G6" s="18"/>
      <c r="H6" s="17"/>
      <c r="I6" s="17"/>
    </row>
    <row r="7" spans="1:9" x14ac:dyDescent="0.25">
      <c r="A7" s="6" t="str">
        <f>'TN SOR data - Material'!A77</f>
        <v>M-0088</v>
      </c>
      <c r="B7" s="8" t="s">
        <v>106</v>
      </c>
      <c r="C7" s="29" t="str">
        <f>VLOOKUP(A7,Table24[#All],2,FALSE)</f>
        <v>HBGS Jelly 20mm size</v>
      </c>
      <c r="D7" s="28">
        <v>8</v>
      </c>
      <c r="E7" s="8" t="s">
        <v>40</v>
      </c>
      <c r="F7" s="11">
        <f>VLOOKUP(A7,'TN SOR data - Material'!A:D,4,FALSE)</f>
        <v>1897.4</v>
      </c>
      <c r="G7" s="135" t="str">
        <f>VLOOKUP(A7,Table24[],3,FALSE)</f>
        <v>Cu.M</v>
      </c>
      <c r="H7" s="10">
        <f t="shared" ref="H7:H11" si="0">PRODUCT(D7,F7)</f>
        <v>15179.2</v>
      </c>
      <c r="I7" s="6"/>
    </row>
    <row r="8" spans="1:9" x14ac:dyDescent="0.25">
      <c r="A8" s="6" t="str">
        <f>'TN SOR data - Material'!A94</f>
        <v>M-0125</v>
      </c>
      <c r="B8" s="8" t="s">
        <v>107</v>
      </c>
      <c r="C8" s="29" t="str">
        <f>VLOOKUP(A8,Table24[#All],2,FALSE)</f>
        <v>Crushed Stone Sand (Commercially called M-Sand)</v>
      </c>
      <c r="D8" s="28">
        <v>4</v>
      </c>
      <c r="E8" s="8" t="s">
        <v>40</v>
      </c>
      <c r="F8" s="11">
        <f>VLOOKUP(A8,'TN SOR data - Material'!A:D,4,FALSE)</f>
        <v>1578.8</v>
      </c>
      <c r="G8" s="135" t="str">
        <f>VLOOKUP(A8,Table24[],3,FALSE)</f>
        <v>Cu.M</v>
      </c>
      <c r="H8" s="10">
        <f t="shared" si="0"/>
        <v>6315.2</v>
      </c>
      <c r="I8" s="6"/>
    </row>
    <row r="9" spans="1:9" x14ac:dyDescent="0.25">
      <c r="A9" s="6" t="str">
        <f>'TN SOR data - Material'!A2</f>
        <v>M-0001</v>
      </c>
      <c r="B9" s="151" t="s">
        <v>812</v>
      </c>
      <c r="C9" s="29" t="str">
        <f>VLOOKUP(A9,Table24[#All],2,FALSE)</f>
        <v>Cement</v>
      </c>
      <c r="D9" s="28">
        <v>4.8</v>
      </c>
      <c r="E9" s="8" t="s">
        <v>114</v>
      </c>
      <c r="F9" s="11">
        <f>VLOOKUP(A9,'TN SOR data - Material'!A:D,4,FALSE)</f>
        <v>5602.5</v>
      </c>
      <c r="G9" s="135" t="str">
        <f>VLOOKUP(A9,Table24[],3,FALSE)</f>
        <v>MT</v>
      </c>
      <c r="H9" s="10">
        <f>PRODUCT(D9,F9)</f>
        <v>26892</v>
      </c>
      <c r="I9" s="6"/>
    </row>
    <row r="10" spans="1:9" ht="38.25" x14ac:dyDescent="0.25">
      <c r="A10" s="6" t="str">
        <f>'TN SOR data - Material'!A3</f>
        <v>M-0002</v>
      </c>
      <c r="B10" s="151" t="s">
        <v>795</v>
      </c>
      <c r="C10" s="29" t="str">
        <f>VLOOKUP(A10,Table24[#All],2,FALSE)</f>
        <v>Steel</v>
      </c>
      <c r="D10" s="28">
        <v>1.57</v>
      </c>
      <c r="E10" s="8" t="s">
        <v>114</v>
      </c>
      <c r="F10" s="11">
        <f>VLOOKUP(A10,'TN SOR data - Material'!A:D,4,FALSE)</f>
        <v>55665</v>
      </c>
      <c r="G10" s="135" t="str">
        <f>VLOOKUP(A10,Table24[],3,FALSE)</f>
        <v>MT</v>
      </c>
      <c r="H10" s="10">
        <f>PRODUCT(D10,F10)</f>
        <v>87394.05</v>
      </c>
      <c r="I10" s="153" t="s">
        <v>796</v>
      </c>
    </row>
    <row r="11" spans="1:9" x14ac:dyDescent="0.25">
      <c r="A11" s="6" t="str">
        <f>'TN SOR data - Material'!A167</f>
        <v>M-0189</v>
      </c>
      <c r="B11" s="151" t="s">
        <v>142</v>
      </c>
      <c r="C11" s="29" t="str">
        <f>VLOOKUP(A11,Table24[#All],2,FALSE)</f>
        <v>Binding Wire (Galvanised-18 G)</v>
      </c>
      <c r="D11" s="28">
        <v>2</v>
      </c>
      <c r="E11" s="8" t="s">
        <v>143</v>
      </c>
      <c r="F11" s="11">
        <f>VLOOKUP(A11,'TN SOR data - Material'!A:D,4,FALSE)</f>
        <v>56.35</v>
      </c>
      <c r="G11" s="135" t="str">
        <f>VLOOKUP(A11,Table24[],3,FALSE)</f>
        <v>Kg</v>
      </c>
      <c r="H11" s="10">
        <f>PRODUCT(D11,F11)</f>
        <v>112.7</v>
      </c>
      <c r="I11" s="6"/>
    </row>
    <row r="12" spans="1:9" x14ac:dyDescent="0.25">
      <c r="A12" s="6"/>
      <c r="B12" s="151"/>
      <c r="C12" s="29"/>
      <c r="D12" s="28"/>
      <c r="E12" s="8"/>
      <c r="F12" s="11"/>
      <c r="G12" s="135"/>
      <c r="H12" s="10"/>
      <c r="I12" s="6"/>
    </row>
    <row r="13" spans="1:9" x14ac:dyDescent="0.25">
      <c r="A13" s="17"/>
      <c r="B13" s="98" t="s">
        <v>38</v>
      </c>
      <c r="C13" s="98"/>
      <c r="D13" s="99"/>
      <c r="E13" s="99"/>
      <c r="F13" s="99"/>
      <c r="G13" s="22"/>
      <c r="H13" s="17"/>
      <c r="I13" s="17"/>
    </row>
    <row r="14" spans="1:9" x14ac:dyDescent="0.25">
      <c r="A14" s="6" t="str">
        <f>'TN SOR data - Labour'!A26</f>
        <v>L-0029</v>
      </c>
      <c r="B14" s="151" t="s">
        <v>148</v>
      </c>
      <c r="C14" s="29" t="str">
        <f>VLOOKUP(A14,'TN SOR data - Labour'!A:D,2,FALSE)</f>
        <v>Mason for Brick Work-I Class</v>
      </c>
      <c r="D14" s="8">
        <v>1</v>
      </c>
      <c r="E14" s="8" t="s">
        <v>47</v>
      </c>
      <c r="F14" s="11">
        <f>VLOOKUP(A14,'TN SOR data - Labour'!A:D,4,FALSE)</f>
        <v>1174</v>
      </c>
      <c r="G14" s="135" t="str">
        <f>VLOOKUP(A14,Table1[],3,FALSE)</f>
        <v>Day</v>
      </c>
      <c r="H14" s="10">
        <f>PRODUCT(D14,F14)</f>
        <v>1174</v>
      </c>
      <c r="I14" s="6"/>
    </row>
    <row r="15" spans="1:9" x14ac:dyDescent="0.25">
      <c r="A15" s="6" t="str">
        <f>'TN SOR data - Labour'!A26</f>
        <v>L-0029</v>
      </c>
      <c r="B15" s="151" t="s">
        <v>22</v>
      </c>
      <c r="C15" s="29" t="str">
        <f>VLOOKUP(A15,'TN SOR data - Labour'!A:D,2,FALSE)</f>
        <v>Mason for Brick Work-I Class</v>
      </c>
      <c r="D15" s="8">
        <v>3</v>
      </c>
      <c r="E15" s="8" t="s">
        <v>47</v>
      </c>
      <c r="F15" s="11">
        <f>VLOOKUP(A15,'TN SOR data - Labour'!A:D,4,FALSE)</f>
        <v>1174</v>
      </c>
      <c r="G15" s="135" t="str">
        <f>VLOOKUP(A15,Table1[],3,FALSE)</f>
        <v>Day</v>
      </c>
      <c r="H15" s="10">
        <f>PRODUCT(D15,F15)</f>
        <v>3522</v>
      </c>
      <c r="I15" s="6"/>
    </row>
    <row r="16" spans="1:9" x14ac:dyDescent="0.25">
      <c r="A16" s="6" t="str">
        <f>'TN SOR data - Labour'!A63</f>
        <v>L-0073</v>
      </c>
      <c r="B16" s="151" t="s">
        <v>44</v>
      </c>
      <c r="C16" s="29" t="str">
        <f>VLOOKUP(A16,'TN SOR data - Labour'!A:D,2,FALSE)</f>
        <v>Mazdoor Category-I</v>
      </c>
      <c r="D16" s="8">
        <v>4</v>
      </c>
      <c r="E16" s="8" t="s">
        <v>47</v>
      </c>
      <c r="F16" s="11">
        <f>VLOOKUP(A16,'TN SOR data - Labour'!A:D,4,FALSE)</f>
        <v>766</v>
      </c>
      <c r="G16" s="135" t="str">
        <f>VLOOKUP(A16,Table1[],3,FALSE)</f>
        <v>Day</v>
      </c>
      <c r="H16" s="10">
        <f t="shared" ref="H16" si="1">PRODUCT(D16,F16)</f>
        <v>3064</v>
      </c>
      <c r="I16" s="6"/>
    </row>
    <row r="17" spans="1:9" x14ac:dyDescent="0.25">
      <c r="A17" s="6" t="str">
        <f>'TN SOR data - Labour'!A85</f>
        <v>L-0098</v>
      </c>
      <c r="B17" s="151" t="s">
        <v>45</v>
      </c>
      <c r="C17" s="29" t="str">
        <f>VLOOKUP(A17,'TN SOR data - Labour'!A:D,2,FALSE)</f>
        <v>Mazdoor Category-II</v>
      </c>
      <c r="D17" s="8">
        <v>4</v>
      </c>
      <c r="E17" s="8" t="s">
        <v>47</v>
      </c>
      <c r="F17" s="11">
        <f>VLOOKUP(A17,'TN SOR data - Labour'!A:D,4,FALSE)</f>
        <v>628</v>
      </c>
      <c r="G17" s="135" t="str">
        <f>VLOOKUP(A17,Table1[],3,FALSE)</f>
        <v>Day</v>
      </c>
      <c r="H17" s="10">
        <f>PRODUCT(D17,F17)</f>
        <v>2512</v>
      </c>
      <c r="I17" s="6"/>
    </row>
    <row r="18" spans="1:9" ht="25.5" x14ac:dyDescent="0.25">
      <c r="A18" s="6" t="str">
        <f>'TN SOR data - Labour'!A52</f>
        <v>L-0060</v>
      </c>
      <c r="B18" s="151" t="s">
        <v>798</v>
      </c>
      <c r="C18" s="29" t="str">
        <f>VLOOKUP(A18,'TN SOR data - Labour'!A:D,2,FALSE)</f>
        <v>Blacksmith-II Class</v>
      </c>
      <c r="D18" s="8">
        <v>8</v>
      </c>
      <c r="E18" s="8" t="s">
        <v>47</v>
      </c>
      <c r="F18" s="11">
        <f>VLOOKUP(A18,'TN SOR data - Labour'!A:D,4,FALSE)</f>
        <v>867</v>
      </c>
      <c r="G18" s="135" t="str">
        <f>VLOOKUP(A18,Table1[],3,FALSE)</f>
        <v>Day</v>
      </c>
      <c r="H18" s="10">
        <f t="shared" ref="H18:H21" si="2">PRODUCT(D18,F18)</f>
        <v>6936</v>
      </c>
      <c r="I18" s="6"/>
    </row>
    <row r="19" spans="1:9" x14ac:dyDescent="0.25">
      <c r="A19" s="6" t="str">
        <f>'TN SOR data - Labour'!A85</f>
        <v>L-0098</v>
      </c>
      <c r="B19" s="151" t="s">
        <v>799</v>
      </c>
      <c r="C19" s="29" t="str">
        <f>VLOOKUP(A19,'TN SOR data - Labour'!A:D,2,FALSE)</f>
        <v>Mazdoor Category-II</v>
      </c>
      <c r="D19" s="8">
        <v>8</v>
      </c>
      <c r="E19" s="8" t="s">
        <v>47</v>
      </c>
      <c r="F19" s="11">
        <f>VLOOKUP(A19,'TN SOR data - Labour'!A:D,4,FALSE)</f>
        <v>628</v>
      </c>
      <c r="G19" s="135" t="str">
        <f>VLOOKUP(A19,Table1[],3,FALSE)</f>
        <v>Day</v>
      </c>
      <c r="H19" s="10">
        <f t="shared" si="2"/>
        <v>5024</v>
      </c>
      <c r="I19" s="6"/>
    </row>
    <row r="20" spans="1:9" ht="25.5" x14ac:dyDescent="0.25">
      <c r="A20" s="6" t="str">
        <f>'TN SOR data - Labour'!A55</f>
        <v>L-0063</v>
      </c>
      <c r="B20" s="151" t="s">
        <v>800</v>
      </c>
      <c r="C20" s="29" t="str">
        <f>VLOOKUP(A20,'TN SOR data - Labour'!A:D,2,FALSE)</f>
        <v>Carpenter-II Class</v>
      </c>
      <c r="D20" s="8">
        <v>10</v>
      </c>
      <c r="E20" s="8" t="s">
        <v>47</v>
      </c>
      <c r="F20" s="11">
        <f>VLOOKUP(A20,'TN SOR data - Labour'!A:D,4,FALSE)</f>
        <v>1096</v>
      </c>
      <c r="G20" s="135" t="str">
        <f>VLOOKUP(A20,Table1[],3,FALSE)</f>
        <v>Day</v>
      </c>
      <c r="H20" s="10">
        <f t="shared" si="2"/>
        <v>10960</v>
      </c>
      <c r="I20" s="6"/>
    </row>
    <row r="21" spans="1:9" ht="25.5" x14ac:dyDescent="0.25">
      <c r="A21" s="6" t="str">
        <f>'TN SOR data - Labour'!A85</f>
        <v>L-0098</v>
      </c>
      <c r="B21" s="151" t="s">
        <v>801</v>
      </c>
      <c r="C21" s="29" t="str">
        <f>VLOOKUP(A21,'TN SOR data - Labour'!A:D,2,FALSE)</f>
        <v>Mazdoor Category-II</v>
      </c>
      <c r="D21" s="8">
        <v>10</v>
      </c>
      <c r="E21" s="8" t="s">
        <v>47</v>
      </c>
      <c r="F21" s="11">
        <f>VLOOKUP(A21,'TN SOR data - Labour'!A:D,4,FALSE)</f>
        <v>628</v>
      </c>
      <c r="G21" s="135" t="str">
        <f>VLOOKUP(A21,Table1[],3,FALSE)</f>
        <v>Day</v>
      </c>
      <c r="H21" s="10">
        <f t="shared" si="2"/>
        <v>6280</v>
      </c>
      <c r="I21" s="6"/>
    </row>
    <row r="22" spans="1:9" x14ac:dyDescent="0.25">
      <c r="A22" s="6"/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17"/>
      <c r="B23" s="98" t="s">
        <v>39</v>
      </c>
      <c r="C23" s="98"/>
      <c r="D23" s="99"/>
      <c r="E23" s="99"/>
      <c r="F23" s="99"/>
      <c r="G23" s="22"/>
      <c r="H23" s="17"/>
      <c r="I23" s="17"/>
    </row>
    <row r="24" spans="1:9" x14ac:dyDescent="0.25">
      <c r="A24" s="6" t="str">
        <f>'SOR data - Equipment'!A15</f>
        <v>H-0110</v>
      </c>
      <c r="B24" s="8" t="s">
        <v>109</v>
      </c>
      <c r="C24" s="151" t="str">
        <f>VLOOKUP(A24,'SOR data - Equipment'!A:D,2,FALSE)</f>
        <v>Mixer Machine with Hopper</v>
      </c>
      <c r="D24" s="8">
        <v>0.75</v>
      </c>
      <c r="E24" s="8" t="s">
        <v>47</v>
      </c>
      <c r="F24" s="11">
        <f>VLOOKUP(A24,'SOR data - Equipment'!A:D,4,FALSE)</f>
        <v>1500</v>
      </c>
      <c r="G24" s="135" t="str">
        <f>VLOOKUP(A24,'SOR data - Equipment'!A:D,3,FALSE)</f>
        <v>Day</v>
      </c>
      <c r="H24" s="10">
        <f>PRODUCT(D24,F24)</f>
        <v>1125</v>
      </c>
      <c r="I24" s="6"/>
    </row>
    <row r="25" spans="1:9" ht="25.5" x14ac:dyDescent="0.25">
      <c r="A25" s="6" t="str">
        <f>'SOR data - Equipment'!A14</f>
        <v>H-0109</v>
      </c>
      <c r="B25" s="8" t="s">
        <v>110</v>
      </c>
      <c r="C25" s="151" t="str">
        <f>VLOOKUP(A25,'SOR data - Equipment'!A:D,2,FALSE)</f>
        <v>Hire Charges for Surface Vibrator or Earth Rammer including Fuel</v>
      </c>
      <c r="D25" s="8">
        <v>1</v>
      </c>
      <c r="E25" s="8" t="s">
        <v>48</v>
      </c>
      <c r="F25" s="11">
        <f>VLOOKUP(A25,'SOR data - Equipment'!A:D,4,FALSE)</f>
        <v>1000</v>
      </c>
      <c r="G25" s="135" t="str">
        <f>VLOOKUP(A25,'SOR data - Equipment'!A:D,3,FALSE)</f>
        <v>Day</v>
      </c>
      <c r="H25" s="10">
        <f>PRODUCT(D25,F25)</f>
        <v>1000</v>
      </c>
      <c r="I25" s="6"/>
    </row>
    <row r="26" spans="1:9" x14ac:dyDescent="0.25">
      <c r="A26" s="6" t="str">
        <f>'SOR data - Equipment'!A24</f>
        <v>H-0119</v>
      </c>
      <c r="B26" s="8" t="s">
        <v>111</v>
      </c>
      <c r="C26" s="151" t="str">
        <f>VLOOKUP(A26,'SOR data - Equipment'!A:D,2,FALSE)</f>
        <v>Hire charges for Concrete Formwork</v>
      </c>
      <c r="D26" s="8">
        <v>1</v>
      </c>
      <c r="E26" s="8" t="s">
        <v>48</v>
      </c>
      <c r="F26" s="11">
        <f>VLOOKUP(A26,'SOR data - Equipment'!A:D,4,FALSE)</f>
        <v>2500</v>
      </c>
      <c r="G26" s="135" t="str">
        <f>VLOOKUP(A26,'SOR data - Equipment'!A:D,3,FALSE)</f>
        <v>Day</v>
      </c>
      <c r="H26" s="10">
        <f>PRODUCT(D26,F26)</f>
        <v>2500</v>
      </c>
      <c r="I26" s="6"/>
    </row>
    <row r="27" spans="1:9" x14ac:dyDescent="0.25">
      <c r="A27" s="6" t="str">
        <f>'SOR data - Equipment'!A25</f>
        <v>H-0120</v>
      </c>
      <c r="B27" s="8" t="s">
        <v>112</v>
      </c>
      <c r="C27" s="151" t="str">
        <f>VLOOKUP(A27,'SOR data - Equipment'!A:D,2,FALSE)</f>
        <v>Hire charges for Concrete Shuttering</v>
      </c>
      <c r="D27" s="8">
        <v>1</v>
      </c>
      <c r="E27" s="8" t="s">
        <v>48</v>
      </c>
      <c r="F27" s="11">
        <f>VLOOKUP(A27,'SOR data - Equipment'!A:D,4,FALSE)</f>
        <v>3000</v>
      </c>
      <c r="G27" s="135" t="str">
        <f>VLOOKUP(A27,'SOR data - Equipment'!A:D,3,FALSE)</f>
        <v>Day</v>
      </c>
      <c r="H27" s="10">
        <f>PRODUCT(D27,F27)</f>
        <v>3000</v>
      </c>
      <c r="I27" s="6"/>
    </row>
    <row r="28" spans="1:9" x14ac:dyDescent="0.25">
      <c r="A28" s="6" t="str">
        <f>'SOR data - Equipment'!A26</f>
        <v>H-0121</v>
      </c>
      <c r="B28" s="8" t="s">
        <v>140</v>
      </c>
      <c r="C28" s="151" t="str">
        <f>VLOOKUP(A28,'SOR data - Equipment'!A:D,2,FALSE)</f>
        <v>Hire charges for Concrete Tools and Tackles</v>
      </c>
      <c r="D28" s="8">
        <v>1</v>
      </c>
      <c r="E28" s="8" t="s">
        <v>48</v>
      </c>
      <c r="F28" s="11">
        <f>VLOOKUP(A28,'SOR data - Equipment'!A:D,4,FALSE)</f>
        <v>2000</v>
      </c>
      <c r="G28" s="135" t="str">
        <f>VLOOKUP(A28,'SOR data - Equipment'!A:D,3,FALSE)</f>
        <v>Day</v>
      </c>
      <c r="H28" s="10">
        <f>PRODUCT(D28,F28)</f>
        <v>2000</v>
      </c>
      <c r="I28" s="6"/>
    </row>
    <row r="29" spans="1:9" x14ac:dyDescent="0.25">
      <c r="A29" s="6"/>
      <c r="B29" s="8"/>
      <c r="C29" s="8"/>
      <c r="D29" s="8"/>
      <c r="E29" s="8"/>
      <c r="F29" s="11"/>
      <c r="G29" s="11"/>
      <c r="H29" s="10"/>
      <c r="I29" s="6"/>
    </row>
    <row r="30" spans="1:9" x14ac:dyDescent="0.25">
      <c r="A30" s="12"/>
      <c r="B30" s="98" t="s">
        <v>180</v>
      </c>
      <c r="C30" s="98"/>
      <c r="D30" s="8"/>
      <c r="E30" s="8"/>
      <c r="F30" s="11"/>
      <c r="G30" s="11"/>
      <c r="H30" s="10"/>
      <c r="I30" s="6"/>
    </row>
    <row r="31" spans="1:9" x14ac:dyDescent="0.25">
      <c r="A31" s="12"/>
      <c r="B31" s="151" t="str">
        <f>'LEAD &amp; LIFT'!A22</f>
        <v>Course Aggregate</v>
      </c>
      <c r="C31" s="8"/>
      <c r="D31" s="28">
        <f>D7</f>
        <v>8</v>
      </c>
      <c r="E31" s="28" t="str">
        <f>E7</f>
        <v>Cu.M</v>
      </c>
      <c r="F31" s="11">
        <f>VLOOKUP(B31,Table13[#All],5,FALSE)</f>
        <v>307.2</v>
      </c>
      <c r="G31" s="28" t="str">
        <f>G7</f>
        <v>Cu.M</v>
      </c>
      <c r="H31" s="10">
        <f>(F31*D31)</f>
        <v>2457.6</v>
      </c>
      <c r="I31" s="6"/>
    </row>
    <row r="32" spans="1:9" x14ac:dyDescent="0.25">
      <c r="A32" s="12"/>
      <c r="B32" s="151" t="str">
        <f>'LEAD &amp; LIFT'!A23</f>
        <v>Fine Aggregate</v>
      </c>
      <c r="C32" s="8"/>
      <c r="D32" s="28">
        <f>D8</f>
        <v>4</v>
      </c>
      <c r="E32" s="28" t="str">
        <f>E8</f>
        <v>Cu.M</v>
      </c>
      <c r="F32" s="11">
        <f>VLOOKUP(B32,Table13[#All],5,FALSE)</f>
        <v>350.55</v>
      </c>
      <c r="G32" s="28" t="str">
        <f>G8</f>
        <v>Cu.M</v>
      </c>
      <c r="H32" s="10">
        <f>(F32*D32)</f>
        <v>1402.2</v>
      </c>
      <c r="I32" s="6"/>
    </row>
    <row r="33" spans="1:9" x14ac:dyDescent="0.25">
      <c r="A33" s="12"/>
      <c r="B33" s="151" t="str">
        <f>'LEAD &amp; LIFT'!A20</f>
        <v>Cement</v>
      </c>
      <c r="C33" s="8"/>
      <c r="D33" s="28">
        <f>D9</f>
        <v>4.8</v>
      </c>
      <c r="E33" s="28" t="str">
        <f>E9</f>
        <v>MT</v>
      </c>
      <c r="F33" s="11">
        <f>VLOOKUP(B33,Table13[#All],5,FALSE)</f>
        <v>376.06</v>
      </c>
      <c r="G33" s="28" t="str">
        <f>G9</f>
        <v>MT</v>
      </c>
      <c r="H33" s="10">
        <f>(F33*D33)</f>
        <v>1805.088</v>
      </c>
      <c r="I33" s="6"/>
    </row>
    <row r="34" spans="1:9" x14ac:dyDescent="0.25">
      <c r="A34" s="12"/>
      <c r="B34" s="151" t="str">
        <f>'LEAD &amp; LIFT'!A21</f>
        <v>Steel</v>
      </c>
      <c r="C34" s="8"/>
      <c r="D34" s="28">
        <f>D10</f>
        <v>1.57</v>
      </c>
      <c r="E34" s="28" t="str">
        <f>E10</f>
        <v>MT</v>
      </c>
      <c r="F34" s="11">
        <f>VLOOKUP(B34,Table13[#All],5,FALSE)</f>
        <v>350.86</v>
      </c>
      <c r="G34" s="28" t="str">
        <f>G10</f>
        <v>MT</v>
      </c>
      <c r="H34" s="10">
        <f>(F34*D34)</f>
        <v>550.85020000000009</v>
      </c>
      <c r="I34" s="6"/>
    </row>
    <row r="35" spans="1:9" x14ac:dyDescent="0.25">
      <c r="A35" s="6"/>
      <c r="B35" s="8"/>
      <c r="C35" s="8"/>
      <c r="D35" s="8"/>
      <c r="E35" s="8"/>
      <c r="F35" s="11"/>
      <c r="G35" s="11"/>
      <c r="H35" s="10"/>
      <c r="I35" s="6"/>
    </row>
    <row r="36" spans="1:9" x14ac:dyDescent="0.25">
      <c r="A36" s="6"/>
      <c r="B36" s="100" t="s">
        <v>36</v>
      </c>
      <c r="C36" s="100"/>
      <c r="D36" s="100"/>
      <c r="E36" s="100"/>
      <c r="F36" s="100"/>
      <c r="G36" s="15"/>
      <c r="H36" s="19">
        <f>SUM(H7:H11,H14:H21,H24:H28,H31:H34)</f>
        <v>191205.88820000002</v>
      </c>
      <c r="I36" s="8"/>
    </row>
    <row r="37" spans="1:9" x14ac:dyDescent="0.25">
      <c r="A37" s="6"/>
      <c r="B37" s="6"/>
      <c r="C37" s="6"/>
      <c r="D37" s="6"/>
      <c r="E37" s="6"/>
      <c r="F37" s="6"/>
      <c r="G37" s="6"/>
      <c r="H37" s="6"/>
      <c r="I37" s="6"/>
    </row>
    <row r="38" spans="1:9" x14ac:dyDescent="0.25">
      <c r="A38" s="6"/>
      <c r="B38" s="96" t="s">
        <v>24</v>
      </c>
      <c r="C38" s="96"/>
      <c r="D38" s="96"/>
      <c r="E38" s="96"/>
      <c r="F38" s="13">
        <v>1.4999999999999999E-2</v>
      </c>
      <c r="G38" s="13"/>
      <c r="H38" s="10">
        <f>PRODUCT(H36,F38)</f>
        <v>2868.0883229999999</v>
      </c>
      <c r="I38" s="6"/>
    </row>
    <row r="39" spans="1:9" x14ac:dyDescent="0.25">
      <c r="A39" s="6"/>
      <c r="B39" s="96" t="s">
        <v>25</v>
      </c>
      <c r="C39" s="96"/>
      <c r="D39" s="96"/>
      <c r="E39" s="96"/>
      <c r="F39" s="13">
        <v>0.01</v>
      </c>
      <c r="G39" s="13"/>
      <c r="H39" s="10">
        <f>PRODUCT(H36,F39)</f>
        <v>1912.0588820000003</v>
      </c>
      <c r="I39" s="6"/>
    </row>
    <row r="40" spans="1:9" x14ac:dyDescent="0.25">
      <c r="A40" s="6"/>
      <c r="B40" s="96" t="s">
        <v>26</v>
      </c>
      <c r="C40" s="96"/>
      <c r="D40" s="96"/>
      <c r="E40" s="96"/>
      <c r="F40" s="13">
        <v>5.0000000000000001E-3</v>
      </c>
      <c r="G40" s="13"/>
      <c r="H40" s="10">
        <f>PRODUCT(H36,F40)</f>
        <v>956.02944100000013</v>
      </c>
      <c r="I40" s="6"/>
    </row>
    <row r="41" spans="1:9" x14ac:dyDescent="0.25">
      <c r="A41" s="6"/>
      <c r="B41" s="96" t="s">
        <v>27</v>
      </c>
      <c r="C41" s="96"/>
      <c r="D41" s="96"/>
      <c r="E41" s="96"/>
      <c r="F41" s="13">
        <v>0.01</v>
      </c>
      <c r="G41" s="13"/>
      <c r="H41" s="10">
        <f>PRODUCT(H36,F41)</f>
        <v>1912.0588820000003</v>
      </c>
      <c r="I41" s="6"/>
    </row>
    <row r="42" spans="1:9" x14ac:dyDescent="0.25">
      <c r="A42" s="6"/>
      <c r="B42" s="96" t="s">
        <v>28</v>
      </c>
      <c r="C42" s="96"/>
      <c r="D42" s="96"/>
      <c r="E42" s="96"/>
      <c r="F42" s="13">
        <v>5.0000000000000001E-3</v>
      </c>
      <c r="G42" s="13"/>
      <c r="H42" s="10">
        <f>PRODUCT(H36,F42)</f>
        <v>956.02944100000013</v>
      </c>
      <c r="I42" s="6"/>
    </row>
    <row r="43" spans="1:9" x14ac:dyDescent="0.25">
      <c r="A43" s="6"/>
      <c r="B43" s="96" t="s">
        <v>29</v>
      </c>
      <c r="C43" s="96"/>
      <c r="D43" s="96"/>
      <c r="E43" s="96"/>
      <c r="F43" s="13">
        <v>5.0000000000000001E-3</v>
      </c>
      <c r="G43" s="13"/>
      <c r="H43" s="10">
        <f>PRODUCT(H36,F43)</f>
        <v>956.02944100000013</v>
      </c>
      <c r="I43" s="6"/>
    </row>
    <row r="44" spans="1:9" x14ac:dyDescent="0.25">
      <c r="A44" s="6"/>
      <c r="B44" s="96" t="s">
        <v>30</v>
      </c>
      <c r="C44" s="96"/>
      <c r="D44" s="96"/>
      <c r="E44" s="96"/>
      <c r="F44" s="13">
        <v>5.0000000000000001E-3</v>
      </c>
      <c r="G44" s="13"/>
      <c r="H44" s="10">
        <f>PRODUCT(H36,F44)</f>
        <v>956.02944100000013</v>
      </c>
      <c r="I44" s="6"/>
    </row>
    <row r="45" spans="1:9" x14ac:dyDescent="0.25">
      <c r="A45" s="6"/>
      <c r="B45" s="96" t="s">
        <v>31</v>
      </c>
      <c r="C45" s="96"/>
      <c r="D45" s="96"/>
      <c r="E45" s="96"/>
      <c r="F45" s="13">
        <v>0.05</v>
      </c>
      <c r="G45" s="13"/>
      <c r="H45" s="10">
        <f>PRODUCT(H36,F45)</f>
        <v>9560.2944100000004</v>
      </c>
      <c r="I45" s="6"/>
    </row>
    <row r="46" spans="1:9" x14ac:dyDescent="0.25">
      <c r="A46" s="6"/>
      <c r="B46" s="96" t="s">
        <v>32</v>
      </c>
      <c r="C46" s="96"/>
      <c r="D46" s="96"/>
      <c r="E46" s="96"/>
      <c r="F46" s="13">
        <v>0.1</v>
      </c>
      <c r="G46" s="13"/>
      <c r="H46" s="10">
        <f>PRODUCT(H36,F46)</f>
        <v>19120.588820000001</v>
      </c>
      <c r="I46" s="6"/>
    </row>
    <row r="47" spans="1:9" x14ac:dyDescent="0.25">
      <c r="A47" s="9"/>
      <c r="B47" s="9"/>
      <c r="C47" s="9"/>
      <c r="D47" s="9"/>
      <c r="E47" s="9"/>
      <c r="F47" s="9"/>
      <c r="G47" s="9"/>
      <c r="H47" s="9"/>
      <c r="I47" s="9"/>
    </row>
    <row r="48" spans="1:9" x14ac:dyDescent="0.25">
      <c r="A48" s="9"/>
      <c r="B48" s="100" t="s">
        <v>37</v>
      </c>
      <c r="C48" s="100"/>
      <c r="D48" s="100"/>
      <c r="E48" s="100"/>
      <c r="F48" s="100"/>
      <c r="G48" s="15"/>
      <c r="H48" s="19">
        <f>SUM(H38:H46)</f>
        <v>39197.207081</v>
      </c>
      <c r="I48" s="9"/>
    </row>
    <row r="49" spans="1:9" x14ac:dyDescent="0.25">
      <c r="A49" s="9"/>
      <c r="B49" s="9"/>
      <c r="C49" s="9"/>
      <c r="D49" s="9"/>
      <c r="E49" s="9"/>
      <c r="F49" s="9"/>
      <c r="G49" s="9"/>
      <c r="H49" s="9"/>
      <c r="I49" s="9"/>
    </row>
    <row r="50" spans="1:9" x14ac:dyDescent="0.25">
      <c r="A50" s="9"/>
      <c r="B50" s="101" t="s">
        <v>149</v>
      </c>
      <c r="C50" s="101"/>
      <c r="D50" s="101"/>
      <c r="E50" s="101"/>
      <c r="F50" s="101"/>
      <c r="G50" s="20"/>
      <c r="H50" s="21">
        <f>SUM(H36,H48)</f>
        <v>230403.09528100002</v>
      </c>
      <c r="I50" s="9"/>
    </row>
    <row r="51" spans="1:9" x14ac:dyDescent="0.25">
      <c r="A51" s="9"/>
      <c r="B51" s="9"/>
      <c r="C51" s="9"/>
      <c r="D51" s="9"/>
      <c r="E51" s="9"/>
      <c r="F51" s="9"/>
      <c r="G51" s="9"/>
      <c r="H51" s="9"/>
      <c r="I51" s="9"/>
    </row>
    <row r="52" spans="1:9" x14ac:dyDescent="0.25">
      <c r="A52" s="9"/>
      <c r="B52" s="101" t="s">
        <v>42</v>
      </c>
      <c r="C52" s="101"/>
      <c r="D52" s="101"/>
      <c r="E52" s="101"/>
      <c r="F52" s="101"/>
      <c r="G52" s="20"/>
      <c r="H52" s="21">
        <f>CEILING(H50/D3,1)</f>
        <v>23041</v>
      </c>
      <c r="I52" s="9"/>
    </row>
  </sheetData>
  <mergeCells count="20">
    <mergeCell ref="B52:F52"/>
    <mergeCell ref="B43:E43"/>
    <mergeCell ref="B44:E44"/>
    <mergeCell ref="B45:E45"/>
    <mergeCell ref="B46:E46"/>
    <mergeCell ref="B48:F48"/>
    <mergeCell ref="B50:F50"/>
    <mergeCell ref="B42:E42"/>
    <mergeCell ref="B3:C3"/>
    <mergeCell ref="B6:C6"/>
    <mergeCell ref="B13:C13"/>
    <mergeCell ref="D13:F13"/>
    <mergeCell ref="B23:C23"/>
    <mergeCell ref="D23:F23"/>
    <mergeCell ref="B36:F36"/>
    <mergeCell ref="B38:E38"/>
    <mergeCell ref="B39:E39"/>
    <mergeCell ref="B40:E40"/>
    <mergeCell ref="B41:E41"/>
    <mergeCell ref="B30:C30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D29DA-2ABF-EB49-B899-C9DF269202AF}">
  <dimension ref="A1:I42"/>
  <sheetViews>
    <sheetView view="pageBreakPreview" zoomScaleNormal="100" zoomScaleSheetLayoutView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11" defaultRowHeight="15.75" x14ac:dyDescent="0.25"/>
  <cols>
    <col min="1" max="1" width="12.875" style="56" customWidth="1"/>
    <col min="2" max="2" width="25.875" customWidth="1"/>
    <col min="3" max="3" width="40.875" customWidth="1"/>
    <col min="4" max="4" width="12.875" customWidth="1"/>
    <col min="6" max="6" width="12.875" customWidth="1"/>
    <col min="8" max="8" width="15.875" customWidth="1"/>
    <col min="9" max="9" width="30.875" customWidth="1"/>
  </cols>
  <sheetData>
    <row r="1" spans="1:9" x14ac:dyDescent="0.25">
      <c r="A1" s="17" t="s">
        <v>50</v>
      </c>
      <c r="B1" s="14" t="s">
        <v>64</v>
      </c>
      <c r="C1" s="14"/>
      <c r="D1" s="9"/>
      <c r="E1" s="9"/>
      <c r="F1" s="9"/>
      <c r="G1" s="9"/>
      <c r="H1" s="9"/>
      <c r="I1" s="9"/>
    </row>
    <row r="2" spans="1:9" x14ac:dyDescent="0.25">
      <c r="A2" s="12"/>
      <c r="B2" s="14" t="s">
        <v>150</v>
      </c>
      <c r="C2" s="14"/>
      <c r="D2" s="9"/>
      <c r="E2" s="9"/>
      <c r="F2" s="9"/>
      <c r="G2" s="9"/>
      <c r="H2" s="9"/>
      <c r="I2" s="9"/>
    </row>
    <row r="3" spans="1:9" x14ac:dyDescent="0.25">
      <c r="A3" s="18"/>
      <c r="B3" s="97" t="s">
        <v>41</v>
      </c>
      <c r="C3" s="97"/>
      <c r="D3" s="7">
        <v>10</v>
      </c>
      <c r="E3" s="7" t="s">
        <v>40</v>
      </c>
      <c r="F3" s="7"/>
      <c r="G3" s="7"/>
      <c r="H3" s="7"/>
      <c r="I3" s="7"/>
    </row>
    <row r="4" spans="1:9" x14ac:dyDescent="0.25">
      <c r="A4" s="18"/>
      <c r="B4" s="23"/>
      <c r="C4" s="23"/>
      <c r="D4" s="7"/>
      <c r="E4" s="7"/>
      <c r="F4" s="7"/>
      <c r="G4" s="7"/>
      <c r="H4" s="7"/>
      <c r="I4" s="7"/>
    </row>
    <row r="5" spans="1:9" x14ac:dyDescent="0.25">
      <c r="A5" s="17" t="s">
        <v>19</v>
      </c>
      <c r="B5" s="17" t="s">
        <v>108</v>
      </c>
      <c r="C5" s="17" t="s">
        <v>33</v>
      </c>
      <c r="D5" s="17" t="s">
        <v>23</v>
      </c>
      <c r="E5" s="17" t="s">
        <v>18</v>
      </c>
      <c r="F5" s="17" t="s">
        <v>49</v>
      </c>
      <c r="G5" s="17" t="s">
        <v>46</v>
      </c>
      <c r="H5" s="17" t="s">
        <v>34</v>
      </c>
      <c r="I5" s="17" t="s">
        <v>35</v>
      </c>
    </row>
    <row r="6" spans="1:9" x14ac:dyDescent="0.25">
      <c r="A6" s="17"/>
      <c r="B6" s="98" t="s">
        <v>17</v>
      </c>
      <c r="C6" s="98"/>
      <c r="D6" s="18"/>
      <c r="E6" s="18"/>
      <c r="F6" s="18"/>
      <c r="G6" s="18"/>
      <c r="H6" s="17"/>
      <c r="I6" s="17"/>
    </row>
    <row r="7" spans="1:9" ht="25.5" x14ac:dyDescent="0.25">
      <c r="A7" s="12" t="str">
        <f>'TN SOR data - Material'!A6</f>
        <v>M-0003</v>
      </c>
      <c r="B7" s="8" t="s">
        <v>146</v>
      </c>
      <c r="C7" s="29" t="str">
        <f>VLOOKUP(A7,Table24[#All],2,FALSE)</f>
        <v>Second Class Table Moulded Chamber Burnt Bricks - 9 x 41/2  x 3</v>
      </c>
      <c r="D7" s="24">
        <v>5000</v>
      </c>
      <c r="E7" s="8" t="s">
        <v>20</v>
      </c>
      <c r="F7" s="11">
        <f>VLOOKUP(A7,'TN SOR data - Material'!A:D,4,FALSE)</f>
        <v>7887</v>
      </c>
      <c r="G7" s="135" t="str">
        <f>VLOOKUP(A7,Table24[],3,FALSE)</f>
        <v>1000 Nos.</v>
      </c>
      <c r="H7" s="10">
        <f>((F7/1000)*D7)</f>
        <v>39435</v>
      </c>
      <c r="I7" s="6"/>
    </row>
    <row r="8" spans="1:9" x14ac:dyDescent="0.25">
      <c r="A8" s="12" t="str">
        <f>'TN SOR data - Material'!A2</f>
        <v>M-0001</v>
      </c>
      <c r="B8" s="8" t="s">
        <v>147</v>
      </c>
      <c r="C8" s="29" t="str">
        <f>VLOOKUP(A8,'TN SOR data - Material'!A:D,2,FALSE)</f>
        <v>Cement</v>
      </c>
      <c r="D8" s="28">
        <v>0.64800000000000002</v>
      </c>
      <c r="E8" s="8" t="s">
        <v>114</v>
      </c>
      <c r="F8" s="11">
        <f>VLOOKUP(A8,'TN SOR data - Material'!A:D,4,FALSE)</f>
        <v>5602.5</v>
      </c>
      <c r="G8" s="135" t="str">
        <f>VLOOKUP(A8,Table24[],3,FALSE)</f>
        <v>MT</v>
      </c>
      <c r="H8" s="10">
        <f t="shared" ref="H8:H9" si="0">PRODUCT(D8,F8)</f>
        <v>3630.42</v>
      </c>
      <c r="I8" s="6" t="s">
        <v>739</v>
      </c>
    </row>
    <row r="9" spans="1:9" x14ac:dyDescent="0.25">
      <c r="A9" s="12" t="str">
        <f>'TN SOR data - Material'!A94</f>
        <v>M-0125</v>
      </c>
      <c r="B9" s="8" t="s">
        <v>145</v>
      </c>
      <c r="C9" s="29" t="str">
        <f>VLOOKUP(A9,'TN SOR data - Material'!A:D,2,FALSE)</f>
        <v>Crushed Stone Sand (Commercially called M-Sand)</v>
      </c>
      <c r="D9" s="24">
        <v>2.7</v>
      </c>
      <c r="E9" s="8" t="s">
        <v>40</v>
      </c>
      <c r="F9" s="11">
        <f>VLOOKUP(A9,'TN SOR data - Material'!A:D,4,FALSE)</f>
        <v>1578.8</v>
      </c>
      <c r="G9" s="135" t="str">
        <f>VLOOKUP(A9,Table24[],3,FALSE)</f>
        <v>Cu.M</v>
      </c>
      <c r="H9" s="10">
        <f t="shared" si="0"/>
        <v>4262.76</v>
      </c>
      <c r="I9" s="6"/>
    </row>
    <row r="10" spans="1:9" x14ac:dyDescent="0.25">
      <c r="A10" s="12"/>
      <c r="B10" s="7"/>
      <c r="C10" s="7"/>
      <c r="D10" s="8"/>
      <c r="E10" s="8"/>
      <c r="F10" s="11"/>
      <c r="G10" s="11"/>
      <c r="H10" s="10"/>
      <c r="I10" s="6"/>
    </row>
    <row r="11" spans="1:9" x14ac:dyDescent="0.25">
      <c r="A11" s="17"/>
      <c r="B11" s="98" t="s">
        <v>38</v>
      </c>
      <c r="C11" s="98"/>
      <c r="D11" s="99"/>
      <c r="E11" s="99"/>
      <c r="F11" s="99"/>
      <c r="G11" s="22"/>
      <c r="H11" s="17"/>
      <c r="I11" s="17"/>
    </row>
    <row r="12" spans="1:9" x14ac:dyDescent="0.25">
      <c r="A12" s="12" t="str">
        <f>'TN SOR data - Labour'!A26</f>
        <v>L-0029</v>
      </c>
      <c r="B12" s="8" t="s">
        <v>148</v>
      </c>
      <c r="C12" s="29" t="str">
        <f>VLOOKUP(A12,'TN SOR data - Labour'!A:D,2,FALSE)</f>
        <v>Mason for Brick Work-I Class</v>
      </c>
      <c r="D12" s="8">
        <v>1</v>
      </c>
      <c r="E12" s="8" t="s">
        <v>20</v>
      </c>
      <c r="F12" s="11">
        <f>VLOOKUP(A12,'TN SOR data - Labour'!A:D,4,FALSE)</f>
        <v>1174</v>
      </c>
      <c r="G12" s="135" t="str">
        <f>VLOOKUP(A12,Table1[],3,FALSE)</f>
        <v>Day</v>
      </c>
      <c r="H12" s="10">
        <f>PRODUCT(D12,F12)</f>
        <v>1174</v>
      </c>
      <c r="I12" s="6"/>
    </row>
    <row r="13" spans="1:9" x14ac:dyDescent="0.25">
      <c r="A13" s="12" t="str">
        <f>'TN SOR data - Labour'!A26</f>
        <v>L-0029</v>
      </c>
      <c r="B13" s="8" t="s">
        <v>22</v>
      </c>
      <c r="C13" s="29" t="str">
        <f>VLOOKUP(A13,'TN SOR data - Labour'!A:D,2,FALSE)</f>
        <v>Mason for Brick Work-I Class</v>
      </c>
      <c r="D13" s="8">
        <v>10</v>
      </c>
      <c r="E13" s="8" t="s">
        <v>20</v>
      </c>
      <c r="F13" s="11">
        <f>VLOOKUP(A13,'TN SOR data - Labour'!A:D,4,FALSE)</f>
        <v>1174</v>
      </c>
      <c r="G13" s="135" t="str">
        <f>VLOOKUP(A13,Table1[],3,FALSE)</f>
        <v>Day</v>
      </c>
      <c r="H13" s="10">
        <f>PRODUCT(D13,F13)</f>
        <v>11740</v>
      </c>
      <c r="I13" s="6"/>
    </row>
    <row r="14" spans="1:9" x14ac:dyDescent="0.25">
      <c r="A14" s="12" t="str">
        <f>'TN SOR data - Labour'!A63</f>
        <v>L-0073</v>
      </c>
      <c r="B14" s="8" t="s">
        <v>44</v>
      </c>
      <c r="C14" s="29" t="str">
        <f>VLOOKUP(A14,'[1]Tamil Nadu SOR data - Labour'!$A:$D,2,FALSE)</f>
        <v>Mazdoor Category-I</v>
      </c>
      <c r="D14" s="8">
        <v>10</v>
      </c>
      <c r="E14" s="8" t="s">
        <v>20</v>
      </c>
      <c r="F14" s="11">
        <f>VLOOKUP(A14,'TN SOR data - Labour'!A:D,4,FALSE)</f>
        <v>766</v>
      </c>
      <c r="G14" s="135" t="str">
        <f>VLOOKUP(A14,Table1[],3,FALSE)</f>
        <v>Day</v>
      </c>
      <c r="H14" s="10">
        <f t="shared" ref="H14" si="1">PRODUCT(D14,F14)</f>
        <v>7660</v>
      </c>
      <c r="I14" s="6"/>
    </row>
    <row r="15" spans="1:9" x14ac:dyDescent="0.25">
      <c r="A15" s="12" t="str">
        <f>'TN SOR data - Labour'!A85</f>
        <v>L-0098</v>
      </c>
      <c r="B15" s="8" t="s">
        <v>45</v>
      </c>
      <c r="C15" s="29" t="str">
        <f>VLOOKUP(A15,'TN SOR data - Labour'!A:D,2,FALSE)</f>
        <v>Mazdoor Category-II</v>
      </c>
      <c r="D15" s="8">
        <v>7</v>
      </c>
      <c r="E15" s="8" t="s">
        <v>20</v>
      </c>
      <c r="F15" s="11">
        <f>VLOOKUP(A15,'TN SOR data - Labour'!A:D,4,FALSE)</f>
        <v>628</v>
      </c>
      <c r="G15" s="135" t="str">
        <f>VLOOKUP(A15,Table1[],3,FALSE)</f>
        <v>Day</v>
      </c>
      <c r="H15" s="10">
        <f>PRODUCT(D15,F15)</f>
        <v>4396</v>
      </c>
      <c r="I15" s="6"/>
    </row>
    <row r="16" spans="1:9" x14ac:dyDescent="0.25">
      <c r="A16" s="12"/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17"/>
      <c r="B17" s="98" t="s">
        <v>39</v>
      </c>
      <c r="C17" s="98"/>
      <c r="D17" s="99"/>
      <c r="E17" s="99"/>
      <c r="F17" s="99"/>
      <c r="G17" s="22"/>
      <c r="H17" s="17"/>
      <c r="I17" s="17"/>
    </row>
    <row r="18" spans="1:9" x14ac:dyDescent="0.25">
      <c r="A18" s="12" t="str">
        <f>'SOR data - Equipment'!A23</f>
        <v>H-0118</v>
      </c>
      <c r="B18" s="8" t="s">
        <v>43</v>
      </c>
      <c r="C18" s="29" t="str">
        <f>VLOOKUP(A18,'SOR data - Equipment'!A:D,2,FALSE)</f>
        <v>Hire charges for Masonry Scaffolding</v>
      </c>
      <c r="D18" s="8">
        <v>1</v>
      </c>
      <c r="E18" s="8" t="s">
        <v>48</v>
      </c>
      <c r="F18" s="11">
        <f>VLOOKUP(A18,'SOR data - Equipment'!A:D,4,FALSE)</f>
        <v>750</v>
      </c>
      <c r="G18" s="135" t="str">
        <f>VLOOKUP(A18,'SOR data - Equipment'!A:D,3,FALSE)</f>
        <v>Day</v>
      </c>
      <c r="H18" s="10">
        <f>PRODUCT(D18,F18)</f>
        <v>750</v>
      </c>
      <c r="I18" s="6"/>
    </row>
    <row r="19" spans="1:9" x14ac:dyDescent="0.25">
      <c r="A19" s="12" t="str">
        <f>'SOR data - Equipment'!A22</f>
        <v>H-0117</v>
      </c>
      <c r="B19" s="8" t="s">
        <v>140</v>
      </c>
      <c r="C19" s="29" t="str">
        <f>VLOOKUP(A19,'SOR data - Equipment'!A:D,2,FALSE)</f>
        <v>Hire charges for Masonry Tools and Tackles</v>
      </c>
      <c r="D19" s="8">
        <v>1</v>
      </c>
      <c r="E19" s="8" t="s">
        <v>48</v>
      </c>
      <c r="F19" s="11">
        <f>VLOOKUP(A19,'SOR data - Equipment'!A:D,4,FALSE)</f>
        <v>450</v>
      </c>
      <c r="G19" s="135" t="str">
        <f>VLOOKUP(A19,'SOR data - Equipment'!A:D,3,FALSE)</f>
        <v>Day</v>
      </c>
      <c r="H19" s="10">
        <f>PRODUCT(D19,F19)</f>
        <v>450</v>
      </c>
      <c r="I19" s="6"/>
    </row>
    <row r="20" spans="1:9" x14ac:dyDescent="0.25">
      <c r="A20" s="12"/>
      <c r="B20" s="8"/>
      <c r="C20" s="8"/>
      <c r="D20" s="8"/>
      <c r="E20" s="8"/>
      <c r="F20" s="11"/>
      <c r="G20" s="11"/>
      <c r="H20" s="10"/>
      <c r="I20" s="6"/>
    </row>
    <row r="21" spans="1:9" x14ac:dyDescent="0.25">
      <c r="A21" s="12"/>
      <c r="B21" s="98" t="s">
        <v>180</v>
      </c>
      <c r="C21" s="98"/>
      <c r="D21" s="8"/>
      <c r="E21" s="8"/>
      <c r="F21" s="11"/>
      <c r="G21" s="11"/>
      <c r="H21" s="10"/>
      <c r="I21" s="6"/>
    </row>
    <row r="22" spans="1:9" ht="25.5" x14ac:dyDescent="0.25">
      <c r="A22" s="12"/>
      <c r="B22" s="151" t="str">
        <f>'LEAD &amp; LIFT'!A24</f>
        <v>Burnt Brick (230mm X 115mm X 75mm)</v>
      </c>
      <c r="C22" s="8"/>
      <c r="D22" s="24">
        <f>D7</f>
        <v>5000</v>
      </c>
      <c r="E22" s="8" t="str">
        <f>E7</f>
        <v>Nos.</v>
      </c>
      <c r="F22" s="11">
        <f>VLOOKUP(B22,Table13[#All],5,FALSE)</f>
        <v>363.84999999999997</v>
      </c>
      <c r="G22" s="136" t="str">
        <f>G7</f>
        <v>1000 Nos.</v>
      </c>
      <c r="H22" s="10">
        <f>((F22/1000)*D22)</f>
        <v>1819.2499999999998</v>
      </c>
      <c r="I22" s="6"/>
    </row>
    <row r="23" spans="1:9" x14ac:dyDescent="0.25">
      <c r="A23" s="12"/>
      <c r="B23" s="151" t="str">
        <f>'LEAD &amp; LIFT'!A20</f>
        <v>Cement</v>
      </c>
      <c r="C23" s="8"/>
      <c r="D23" s="24">
        <f>D8</f>
        <v>0.64800000000000002</v>
      </c>
      <c r="E23" s="8" t="str">
        <f>E8</f>
        <v>MT</v>
      </c>
      <c r="F23" s="11">
        <f>VLOOKUP(B23,Table13[#All],5,FALSE)</f>
        <v>376.06</v>
      </c>
      <c r="G23" s="8" t="str">
        <f>G8</f>
        <v>MT</v>
      </c>
      <c r="H23" s="10">
        <f>(F23*D23)</f>
        <v>243.68688</v>
      </c>
      <c r="I23" s="6"/>
    </row>
    <row r="24" spans="1:9" x14ac:dyDescent="0.25">
      <c r="A24" s="12"/>
      <c r="B24" s="151" t="str">
        <f>'LEAD &amp; LIFT'!A23</f>
        <v>Fine Aggregate</v>
      </c>
      <c r="C24" s="8"/>
      <c r="D24" s="24">
        <f>D9</f>
        <v>2.7</v>
      </c>
      <c r="E24" s="8" t="str">
        <f>E9</f>
        <v>Cu.M</v>
      </c>
      <c r="F24" s="11">
        <f>VLOOKUP(B24,Table13[#All],5,FALSE)</f>
        <v>350.55</v>
      </c>
      <c r="G24" s="8" t="str">
        <f>G9</f>
        <v>Cu.M</v>
      </c>
      <c r="H24" s="10">
        <f>(F24*D24)</f>
        <v>946.48500000000013</v>
      </c>
      <c r="I24" s="6"/>
    </row>
    <row r="25" spans="1:9" x14ac:dyDescent="0.25">
      <c r="A25" s="12"/>
      <c r="B25" s="8"/>
      <c r="C25" s="8"/>
      <c r="D25" s="8"/>
      <c r="E25" s="8"/>
      <c r="F25" s="11"/>
      <c r="G25" s="11"/>
      <c r="H25" s="10"/>
      <c r="I25" s="6"/>
    </row>
    <row r="26" spans="1:9" x14ac:dyDescent="0.25">
      <c r="A26" s="12"/>
      <c r="B26" s="100" t="s">
        <v>36</v>
      </c>
      <c r="C26" s="100"/>
      <c r="D26" s="100"/>
      <c r="E26" s="100"/>
      <c r="F26" s="100"/>
      <c r="G26" s="15"/>
      <c r="H26" s="19">
        <f>SUM(H7:H9,H12:H15,H18:H19,H22:H24)</f>
        <v>76507.601879999987</v>
      </c>
      <c r="I26" s="8"/>
    </row>
    <row r="27" spans="1:9" x14ac:dyDescent="0.25">
      <c r="A27" s="12"/>
      <c r="B27" s="6"/>
      <c r="C27" s="6"/>
      <c r="D27" s="6"/>
      <c r="E27" s="6"/>
      <c r="F27" s="6"/>
      <c r="G27" s="6"/>
      <c r="H27" s="6"/>
      <c r="I27" s="6"/>
    </row>
    <row r="28" spans="1:9" x14ac:dyDescent="0.25">
      <c r="A28" s="12"/>
      <c r="B28" s="96" t="s">
        <v>24</v>
      </c>
      <c r="C28" s="96"/>
      <c r="D28" s="96"/>
      <c r="E28" s="96"/>
      <c r="F28" s="13">
        <v>1.4999999999999999E-2</v>
      </c>
      <c r="G28" s="13"/>
      <c r="H28" s="10">
        <f>PRODUCT(H26,F28)</f>
        <v>1147.6140281999997</v>
      </c>
      <c r="I28" s="6"/>
    </row>
    <row r="29" spans="1:9" x14ac:dyDescent="0.25">
      <c r="A29" s="12"/>
      <c r="B29" s="96" t="s">
        <v>25</v>
      </c>
      <c r="C29" s="96"/>
      <c r="D29" s="96"/>
      <c r="E29" s="96"/>
      <c r="F29" s="13">
        <v>0.01</v>
      </c>
      <c r="G29" s="13"/>
      <c r="H29" s="10">
        <f>PRODUCT(H26,F29)</f>
        <v>765.07601879999993</v>
      </c>
      <c r="I29" s="6"/>
    </row>
    <row r="30" spans="1:9" x14ac:dyDescent="0.25">
      <c r="A30" s="12"/>
      <c r="B30" s="96" t="s">
        <v>26</v>
      </c>
      <c r="C30" s="96"/>
      <c r="D30" s="96"/>
      <c r="E30" s="96"/>
      <c r="F30" s="13">
        <v>5.0000000000000001E-3</v>
      </c>
      <c r="G30" s="13"/>
      <c r="H30" s="10">
        <f>PRODUCT(H26,F30)</f>
        <v>382.53800939999996</v>
      </c>
      <c r="I30" s="6"/>
    </row>
    <row r="31" spans="1:9" x14ac:dyDescent="0.25">
      <c r="A31" s="12"/>
      <c r="B31" s="96" t="s">
        <v>27</v>
      </c>
      <c r="C31" s="96"/>
      <c r="D31" s="96"/>
      <c r="E31" s="96"/>
      <c r="F31" s="13">
        <v>0.01</v>
      </c>
      <c r="G31" s="13"/>
      <c r="H31" s="10">
        <f>PRODUCT(H26,F31)</f>
        <v>765.07601879999993</v>
      </c>
      <c r="I31" s="6"/>
    </row>
    <row r="32" spans="1:9" x14ac:dyDescent="0.25">
      <c r="A32" s="12"/>
      <c r="B32" s="96" t="s">
        <v>28</v>
      </c>
      <c r="C32" s="96"/>
      <c r="D32" s="96"/>
      <c r="E32" s="96"/>
      <c r="F32" s="13">
        <v>5.0000000000000001E-3</v>
      </c>
      <c r="G32" s="13"/>
      <c r="H32" s="10">
        <f>PRODUCT(H26,F32)</f>
        <v>382.53800939999996</v>
      </c>
      <c r="I32" s="6"/>
    </row>
    <row r="33" spans="1:9" x14ac:dyDescent="0.25">
      <c r="A33" s="12"/>
      <c r="B33" s="96" t="s">
        <v>29</v>
      </c>
      <c r="C33" s="96"/>
      <c r="D33" s="96"/>
      <c r="E33" s="96"/>
      <c r="F33" s="13">
        <v>5.0000000000000001E-3</v>
      </c>
      <c r="G33" s="13"/>
      <c r="H33" s="10">
        <f>PRODUCT(H26,F33)</f>
        <v>382.53800939999996</v>
      </c>
      <c r="I33" s="6"/>
    </row>
    <row r="34" spans="1:9" x14ac:dyDescent="0.25">
      <c r="A34" s="12"/>
      <c r="B34" s="96" t="s">
        <v>30</v>
      </c>
      <c r="C34" s="96"/>
      <c r="D34" s="96"/>
      <c r="E34" s="96"/>
      <c r="F34" s="13">
        <v>5.0000000000000001E-3</v>
      </c>
      <c r="G34" s="13"/>
      <c r="H34" s="10">
        <f>PRODUCT(H26,F34)</f>
        <v>382.53800939999996</v>
      </c>
      <c r="I34" s="6"/>
    </row>
    <row r="35" spans="1:9" x14ac:dyDescent="0.25">
      <c r="A35" s="12"/>
      <c r="B35" s="96" t="s">
        <v>31</v>
      </c>
      <c r="C35" s="96"/>
      <c r="D35" s="96"/>
      <c r="E35" s="96"/>
      <c r="F35" s="13">
        <v>0.05</v>
      </c>
      <c r="G35" s="13"/>
      <c r="H35" s="10">
        <f>PRODUCT(H26,F35)</f>
        <v>3825.3800939999996</v>
      </c>
      <c r="I35" s="6"/>
    </row>
    <row r="36" spans="1:9" x14ac:dyDescent="0.25">
      <c r="A36" s="12"/>
      <c r="B36" s="96" t="s">
        <v>32</v>
      </c>
      <c r="C36" s="96"/>
      <c r="D36" s="96"/>
      <c r="E36" s="96"/>
      <c r="F36" s="13">
        <v>0.1</v>
      </c>
      <c r="G36" s="13"/>
      <c r="H36" s="10">
        <f>PRODUCT(H26,F36)</f>
        <v>7650.7601879999993</v>
      </c>
      <c r="I36" s="6"/>
    </row>
    <row r="37" spans="1:9" x14ac:dyDescent="0.25">
      <c r="A37" s="18"/>
      <c r="B37" s="9"/>
      <c r="C37" s="9"/>
      <c r="D37" s="9"/>
      <c r="E37" s="9"/>
      <c r="F37" s="9"/>
      <c r="G37" s="9"/>
      <c r="H37" s="9"/>
      <c r="I37" s="9"/>
    </row>
    <row r="38" spans="1:9" x14ac:dyDescent="0.25">
      <c r="A38" s="18"/>
      <c r="B38" s="100" t="s">
        <v>37</v>
      </c>
      <c r="C38" s="100"/>
      <c r="D38" s="100"/>
      <c r="E38" s="100"/>
      <c r="F38" s="100"/>
      <c r="G38" s="15"/>
      <c r="H38" s="19">
        <f>SUM(H28:H36)</f>
        <v>15684.0583854</v>
      </c>
      <c r="I38" s="9"/>
    </row>
    <row r="39" spans="1:9" x14ac:dyDescent="0.25">
      <c r="A39" s="18"/>
      <c r="B39" s="9"/>
      <c r="C39" s="9"/>
      <c r="D39" s="9"/>
      <c r="E39" s="9"/>
      <c r="F39" s="9"/>
      <c r="G39" s="9"/>
      <c r="H39" s="9"/>
      <c r="I39" s="9"/>
    </row>
    <row r="40" spans="1:9" x14ac:dyDescent="0.25">
      <c r="A40" s="18"/>
      <c r="B40" s="101" t="s">
        <v>149</v>
      </c>
      <c r="C40" s="101"/>
      <c r="D40" s="101"/>
      <c r="E40" s="101"/>
      <c r="F40" s="101"/>
      <c r="G40" s="20"/>
      <c r="H40" s="21">
        <f>SUM(H26,H38)</f>
        <v>92191.660265399987</v>
      </c>
      <c r="I40" s="9"/>
    </row>
    <row r="41" spans="1:9" x14ac:dyDescent="0.25">
      <c r="A41" s="18"/>
      <c r="B41" s="9"/>
      <c r="C41" s="9"/>
      <c r="D41" s="9"/>
      <c r="E41" s="9"/>
      <c r="F41" s="9"/>
      <c r="G41" s="9"/>
      <c r="H41" s="9"/>
      <c r="I41" s="9"/>
    </row>
    <row r="42" spans="1:9" x14ac:dyDescent="0.25">
      <c r="A42" s="18"/>
      <c r="B42" s="101" t="s">
        <v>42</v>
      </c>
      <c r="C42" s="101"/>
      <c r="D42" s="101"/>
      <c r="E42" s="101"/>
      <c r="F42" s="101"/>
      <c r="G42" s="20"/>
      <c r="H42" s="21">
        <f>CEILING(H40/D3,1)</f>
        <v>9220</v>
      </c>
      <c r="I42" s="9"/>
    </row>
  </sheetData>
  <mergeCells count="20">
    <mergeCell ref="B42:F42"/>
    <mergeCell ref="B33:E33"/>
    <mergeCell ref="B34:E34"/>
    <mergeCell ref="B35:E35"/>
    <mergeCell ref="B36:E36"/>
    <mergeCell ref="B38:F38"/>
    <mergeCell ref="B40:F40"/>
    <mergeCell ref="B32:E32"/>
    <mergeCell ref="B3:C3"/>
    <mergeCell ref="B6:C6"/>
    <mergeCell ref="B11:C11"/>
    <mergeCell ref="D11:F11"/>
    <mergeCell ref="B17:C17"/>
    <mergeCell ref="D17:F17"/>
    <mergeCell ref="B26:F26"/>
    <mergeCell ref="B28:E28"/>
    <mergeCell ref="B29:E29"/>
    <mergeCell ref="B30:E30"/>
    <mergeCell ref="B31:E31"/>
    <mergeCell ref="B21:C21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08D1E-CE6B-C749-95AC-60A68867B17D}">
  <dimension ref="A1:I40"/>
  <sheetViews>
    <sheetView view="pageBreakPreview" zoomScaleNormal="100" zoomScaleSheetLayoutView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11" defaultRowHeight="15.75" x14ac:dyDescent="0.25"/>
  <cols>
    <col min="1" max="1" width="12.875" customWidth="1"/>
    <col min="2" max="2" width="25.875" customWidth="1"/>
    <col min="3" max="3" width="40.875" customWidth="1"/>
    <col min="4" max="4" width="12.875" customWidth="1"/>
    <col min="6" max="6" width="12.875" customWidth="1"/>
    <col min="8" max="8" width="15.875" customWidth="1"/>
    <col min="9" max="9" width="30.875" customWidth="1"/>
  </cols>
  <sheetData>
    <row r="1" spans="1:9" x14ac:dyDescent="0.25">
      <c r="A1" s="17" t="s">
        <v>50</v>
      </c>
      <c r="B1" s="14" t="s">
        <v>78</v>
      </c>
      <c r="C1" s="14"/>
      <c r="D1" s="9"/>
      <c r="E1" s="9"/>
      <c r="F1" s="9"/>
      <c r="G1" s="9"/>
      <c r="H1" s="9"/>
      <c r="I1" s="9"/>
    </row>
    <row r="2" spans="1:9" x14ac:dyDescent="0.25">
      <c r="A2" s="12"/>
      <c r="B2" s="14" t="s">
        <v>821</v>
      </c>
      <c r="C2" s="14"/>
      <c r="D2" s="9"/>
      <c r="E2" s="9"/>
      <c r="F2" s="9"/>
      <c r="G2" s="9"/>
      <c r="H2" s="9"/>
      <c r="I2" s="9"/>
    </row>
    <row r="3" spans="1:9" x14ac:dyDescent="0.25">
      <c r="A3" s="18"/>
      <c r="B3" s="97" t="s">
        <v>41</v>
      </c>
      <c r="C3" s="97"/>
      <c r="D3" s="7">
        <v>100</v>
      </c>
      <c r="E3" s="7" t="s">
        <v>40</v>
      </c>
      <c r="F3" s="7"/>
      <c r="G3" s="7"/>
      <c r="H3" s="7"/>
      <c r="I3" s="7"/>
    </row>
    <row r="4" spans="1:9" x14ac:dyDescent="0.25">
      <c r="A4" s="18"/>
      <c r="B4" s="23"/>
      <c r="C4" s="23"/>
      <c r="D4" s="7"/>
      <c r="E4" s="7"/>
      <c r="F4" s="7"/>
      <c r="G4" s="7"/>
      <c r="H4" s="7"/>
      <c r="I4" s="7"/>
    </row>
    <row r="5" spans="1:9" x14ac:dyDescent="0.25">
      <c r="A5" s="17" t="s">
        <v>19</v>
      </c>
      <c r="B5" s="17" t="s">
        <v>108</v>
      </c>
      <c r="C5" s="17" t="s">
        <v>33</v>
      </c>
      <c r="D5" s="17" t="s">
        <v>23</v>
      </c>
      <c r="E5" s="17" t="s">
        <v>18</v>
      </c>
      <c r="F5" s="17" t="s">
        <v>49</v>
      </c>
      <c r="G5" s="17" t="s">
        <v>46</v>
      </c>
      <c r="H5" s="17" t="s">
        <v>34</v>
      </c>
      <c r="I5" s="17" t="s">
        <v>35</v>
      </c>
    </row>
    <row r="6" spans="1:9" x14ac:dyDescent="0.25">
      <c r="A6" s="17"/>
      <c r="B6" s="98" t="s">
        <v>17</v>
      </c>
      <c r="C6" s="98"/>
      <c r="D6" s="18"/>
      <c r="E6" s="18"/>
      <c r="F6" s="18"/>
      <c r="G6" s="18"/>
      <c r="H6" s="17"/>
      <c r="I6" s="17"/>
    </row>
    <row r="7" spans="1:9" x14ac:dyDescent="0.25">
      <c r="A7" s="12" t="str">
        <f>'TN SOR data - Material'!A2</f>
        <v>M-0001</v>
      </c>
      <c r="B7" s="8" t="s">
        <v>822</v>
      </c>
      <c r="C7" s="29" t="str">
        <f>VLOOKUP(A7,'TN SOR data - Material'!A:D,2,FALSE)</f>
        <v>Cement</v>
      </c>
      <c r="D7" s="28">
        <v>1.44</v>
      </c>
      <c r="E7" s="8" t="s">
        <v>114</v>
      </c>
      <c r="F7" s="11">
        <f>VLOOKUP(A7,'TN SOR data - Material'!A:D,4,FALSE)</f>
        <v>5602.5</v>
      </c>
      <c r="G7" s="135" t="str">
        <f>VLOOKUP(A7,Table24[],3,FALSE)</f>
        <v>MT</v>
      </c>
      <c r="H7" s="10">
        <f t="shared" ref="H7:H8" si="0">PRODUCT(D7,F7)</f>
        <v>8067.5999999999995</v>
      </c>
      <c r="I7" s="6"/>
    </row>
    <row r="8" spans="1:9" x14ac:dyDescent="0.25">
      <c r="A8" s="12" t="str">
        <f>'TN SOR data - Material'!A95</f>
        <v>M-0126</v>
      </c>
      <c r="B8" s="8" t="s">
        <v>145</v>
      </c>
      <c r="C8" s="29" t="str">
        <f>VLOOKUP(A8,'TN SOR data - Material'!A:D,2,FALSE)</f>
        <v>Plastering Sand (P-Sand)</v>
      </c>
      <c r="D8" s="24">
        <v>2</v>
      </c>
      <c r="E8" s="8" t="s">
        <v>40</v>
      </c>
      <c r="F8" s="11">
        <f>VLOOKUP(A8,'TN SOR data - Material'!A:D,4,FALSE)</f>
        <v>1584.7</v>
      </c>
      <c r="G8" s="135" t="str">
        <f>VLOOKUP(A8,Table24[],3,FALSE)</f>
        <v>Cu.M</v>
      </c>
      <c r="H8" s="10">
        <f t="shared" si="0"/>
        <v>3169.4</v>
      </c>
      <c r="I8" s="6"/>
    </row>
    <row r="9" spans="1:9" x14ac:dyDescent="0.25">
      <c r="A9" s="12"/>
      <c r="B9" s="7"/>
      <c r="C9" s="7"/>
      <c r="D9" s="8"/>
      <c r="E9" s="8"/>
      <c r="F9" s="11"/>
      <c r="G9" s="11"/>
      <c r="H9" s="10"/>
      <c r="I9" s="6"/>
    </row>
    <row r="10" spans="1:9" x14ac:dyDescent="0.25">
      <c r="A10" s="17"/>
      <c r="B10" s="98" t="s">
        <v>38</v>
      </c>
      <c r="C10" s="98"/>
      <c r="D10" s="99"/>
      <c r="E10" s="99"/>
      <c r="F10" s="99"/>
      <c r="G10" s="22"/>
      <c r="H10" s="17"/>
      <c r="I10" s="17"/>
    </row>
    <row r="11" spans="1:9" x14ac:dyDescent="0.25">
      <c r="A11" s="12" t="str">
        <f>'TN SOR data - Labour'!A26</f>
        <v>L-0029</v>
      </c>
      <c r="B11" s="8" t="s">
        <v>148</v>
      </c>
      <c r="C11" s="29" t="str">
        <f>VLOOKUP(A11,'TN SOR data - Labour'!A:D,2,FALSE)</f>
        <v>Mason for Brick Work-I Class</v>
      </c>
      <c r="D11" s="8">
        <v>1</v>
      </c>
      <c r="E11" s="8" t="s">
        <v>20</v>
      </c>
      <c r="F11" s="11">
        <f>VLOOKUP(A11,'TN SOR data - Labour'!A:D,4,FALSE)</f>
        <v>1174</v>
      </c>
      <c r="G11" s="135" t="str">
        <f>VLOOKUP(A11,Table1[],3,FALSE)</f>
        <v>Day</v>
      </c>
      <c r="H11" s="10">
        <f>PRODUCT(D11,F11)</f>
        <v>1174</v>
      </c>
      <c r="I11" s="6"/>
    </row>
    <row r="12" spans="1:9" x14ac:dyDescent="0.25">
      <c r="A12" s="12" t="str">
        <f>'TN SOR data - Labour'!A26</f>
        <v>L-0029</v>
      </c>
      <c r="B12" s="8" t="s">
        <v>22</v>
      </c>
      <c r="C12" s="29" t="str">
        <f>VLOOKUP(A12,'TN SOR data - Labour'!A:D,2,FALSE)</f>
        <v>Mason for Brick Work-I Class</v>
      </c>
      <c r="D12" s="8">
        <v>10</v>
      </c>
      <c r="E12" s="8" t="s">
        <v>20</v>
      </c>
      <c r="F12" s="11">
        <f>VLOOKUP(A12,'TN SOR data - Labour'!A:D,4,FALSE)</f>
        <v>1174</v>
      </c>
      <c r="G12" s="135" t="str">
        <f>VLOOKUP(A12,Table1[],3,FALSE)</f>
        <v>Day</v>
      </c>
      <c r="H12" s="10">
        <f>PRODUCT(D12,F12)</f>
        <v>11740</v>
      </c>
      <c r="I12" s="6"/>
    </row>
    <row r="13" spans="1:9" x14ac:dyDescent="0.25">
      <c r="A13" s="12" t="str">
        <f>'TN SOR data - Labour'!A63</f>
        <v>L-0073</v>
      </c>
      <c r="B13" s="8" t="s">
        <v>44</v>
      </c>
      <c r="C13" s="29" t="str">
        <f>VLOOKUP(A13,'[1]Tamil Nadu SOR data - Labour'!$A:$D,2,FALSE)</f>
        <v>Mazdoor Category-I</v>
      </c>
      <c r="D13" s="8">
        <v>10</v>
      </c>
      <c r="E13" s="8" t="s">
        <v>20</v>
      </c>
      <c r="F13" s="11">
        <f>VLOOKUP(A13,'TN SOR data - Labour'!A:D,4,FALSE)</f>
        <v>766</v>
      </c>
      <c r="G13" s="135" t="str">
        <f>VLOOKUP(A13,Table1[],3,FALSE)</f>
        <v>Day</v>
      </c>
      <c r="H13" s="10">
        <f t="shared" ref="H13" si="1">PRODUCT(D13,F13)</f>
        <v>7660</v>
      </c>
      <c r="I13" s="6"/>
    </row>
    <row r="14" spans="1:9" x14ac:dyDescent="0.25">
      <c r="A14" s="12" t="str">
        <f>'TN SOR data - Labour'!A85</f>
        <v>L-0098</v>
      </c>
      <c r="B14" s="8" t="s">
        <v>45</v>
      </c>
      <c r="C14" s="29" t="str">
        <f>VLOOKUP(A14,'TN SOR data - Labour'!A:D,2,FALSE)</f>
        <v>Mazdoor Category-II</v>
      </c>
      <c r="D14" s="8">
        <v>7</v>
      </c>
      <c r="E14" s="8" t="s">
        <v>20</v>
      </c>
      <c r="F14" s="11">
        <f>VLOOKUP(A14,'TN SOR data - Labour'!A:D,4,FALSE)</f>
        <v>628</v>
      </c>
      <c r="G14" s="135" t="str">
        <f>VLOOKUP(A14,Table1[],3,FALSE)</f>
        <v>Day</v>
      </c>
      <c r="H14" s="10">
        <f>PRODUCT(D14,F14)</f>
        <v>4396</v>
      </c>
      <c r="I14" s="6"/>
    </row>
    <row r="15" spans="1:9" x14ac:dyDescent="0.25">
      <c r="A15" s="12"/>
      <c r="B15" s="6"/>
      <c r="C15" s="6"/>
      <c r="D15" s="6"/>
      <c r="E15" s="6"/>
      <c r="F15" s="6"/>
      <c r="G15" s="6"/>
      <c r="H15" s="6"/>
      <c r="I15" s="6"/>
    </row>
    <row r="16" spans="1:9" x14ac:dyDescent="0.25">
      <c r="A16" s="17"/>
      <c r="B16" s="98" t="s">
        <v>39</v>
      </c>
      <c r="C16" s="98"/>
      <c r="D16" s="99"/>
      <c r="E16" s="99"/>
      <c r="F16" s="99"/>
      <c r="G16" s="22"/>
      <c r="H16" s="17"/>
      <c r="I16" s="17"/>
    </row>
    <row r="17" spans="1:9" x14ac:dyDescent="0.25">
      <c r="A17" s="12" t="str">
        <f>'SOR data - Equipment'!A23</f>
        <v>H-0118</v>
      </c>
      <c r="B17" s="8" t="s">
        <v>43</v>
      </c>
      <c r="C17" s="29" t="str">
        <f>VLOOKUP(A17,'SOR data - Equipment'!A:D,2,FALSE)</f>
        <v>Hire charges for Masonry Scaffolding</v>
      </c>
      <c r="D17" s="8">
        <v>1</v>
      </c>
      <c r="E17" s="8" t="s">
        <v>48</v>
      </c>
      <c r="F17" s="11">
        <f>VLOOKUP(A17,'SOR data - Equipment'!A:D,4,FALSE)</f>
        <v>750</v>
      </c>
      <c r="G17" s="135" t="str">
        <f>VLOOKUP(A17,'SOR data - Equipment'!A:D,3,FALSE)</f>
        <v>Day</v>
      </c>
      <c r="H17" s="10">
        <f>PRODUCT(D17,F17)</f>
        <v>750</v>
      </c>
      <c r="I17" s="6"/>
    </row>
    <row r="18" spans="1:9" x14ac:dyDescent="0.25">
      <c r="A18" s="12" t="str">
        <f>'SOR data - Equipment'!A22</f>
        <v>H-0117</v>
      </c>
      <c r="B18" s="8" t="s">
        <v>140</v>
      </c>
      <c r="C18" s="29" t="str">
        <f>VLOOKUP(A18,'SOR data - Equipment'!A:D,2,FALSE)</f>
        <v>Hire charges for Masonry Tools and Tackles</v>
      </c>
      <c r="D18" s="8">
        <v>1</v>
      </c>
      <c r="E18" s="8" t="s">
        <v>48</v>
      </c>
      <c r="F18" s="11">
        <f>VLOOKUP(A18,'SOR data - Equipment'!A:D,4,FALSE)</f>
        <v>450</v>
      </c>
      <c r="G18" s="135" t="str">
        <f>VLOOKUP(A18,'SOR data - Equipment'!A:D,3,FALSE)</f>
        <v>Day</v>
      </c>
      <c r="H18" s="10">
        <f>PRODUCT(D18,F18)</f>
        <v>450</v>
      </c>
      <c r="I18" s="6"/>
    </row>
    <row r="19" spans="1:9" x14ac:dyDescent="0.25">
      <c r="A19" s="12"/>
      <c r="B19" s="8"/>
      <c r="C19" s="8"/>
      <c r="D19" s="8"/>
      <c r="E19" s="8"/>
      <c r="F19" s="11"/>
      <c r="G19" s="11"/>
      <c r="H19" s="10"/>
      <c r="I19" s="6"/>
    </row>
    <row r="20" spans="1:9" x14ac:dyDescent="0.25">
      <c r="A20" s="12"/>
      <c r="B20" s="98" t="s">
        <v>180</v>
      </c>
      <c r="C20" s="98"/>
      <c r="D20" s="8"/>
      <c r="E20" s="8"/>
      <c r="F20" s="11"/>
      <c r="G20" s="11"/>
      <c r="H20" s="10"/>
      <c r="I20" s="6"/>
    </row>
    <row r="21" spans="1:9" x14ac:dyDescent="0.25">
      <c r="A21" s="12"/>
      <c r="B21" s="151" t="str">
        <f>'LEAD &amp; LIFT'!A20</f>
        <v>Cement</v>
      </c>
      <c r="C21" s="8"/>
      <c r="D21" s="24">
        <f>D7</f>
        <v>1.44</v>
      </c>
      <c r="E21" s="8" t="str">
        <f>E7</f>
        <v>MT</v>
      </c>
      <c r="F21" s="11">
        <f>VLOOKUP(B21,Table13[#All],5,FALSE)</f>
        <v>376.06</v>
      </c>
      <c r="G21" s="8" t="str">
        <f>G7</f>
        <v>MT</v>
      </c>
      <c r="H21" s="10">
        <f>(F21*D21)</f>
        <v>541.52639999999997</v>
      </c>
      <c r="I21" s="6"/>
    </row>
    <row r="22" spans="1:9" x14ac:dyDescent="0.25">
      <c r="A22" s="12"/>
      <c r="B22" s="151" t="str">
        <f>'LEAD &amp; LIFT'!A23</f>
        <v>Fine Aggregate</v>
      </c>
      <c r="C22" s="8"/>
      <c r="D22" s="24">
        <f>D8</f>
        <v>2</v>
      </c>
      <c r="E22" s="8" t="str">
        <f>E8</f>
        <v>Cu.M</v>
      </c>
      <c r="F22" s="11">
        <f>VLOOKUP(B22,Table13[#All],5,FALSE)</f>
        <v>350.55</v>
      </c>
      <c r="G22" s="8" t="str">
        <f>G8</f>
        <v>Cu.M</v>
      </c>
      <c r="H22" s="10">
        <f>(F22*D22)</f>
        <v>701.1</v>
      </c>
      <c r="I22" s="6"/>
    </row>
    <row r="23" spans="1:9" x14ac:dyDescent="0.25">
      <c r="A23" s="12"/>
      <c r="B23" s="8"/>
      <c r="C23" s="8"/>
      <c r="D23" s="8"/>
      <c r="E23" s="8"/>
      <c r="F23" s="11"/>
      <c r="G23" s="11"/>
      <c r="H23" s="10"/>
      <c r="I23" s="6"/>
    </row>
    <row r="24" spans="1:9" x14ac:dyDescent="0.25">
      <c r="A24" s="12"/>
      <c r="B24" s="100" t="s">
        <v>36</v>
      </c>
      <c r="C24" s="100"/>
      <c r="D24" s="100"/>
      <c r="E24" s="100"/>
      <c r="F24" s="100"/>
      <c r="G24" s="15"/>
      <c r="H24" s="19">
        <f>SUM(H7:H8,H11:H14,H17:H18,H21:H22)</f>
        <v>38649.626400000001</v>
      </c>
      <c r="I24" s="8"/>
    </row>
    <row r="25" spans="1:9" x14ac:dyDescent="0.25">
      <c r="A25" s="12"/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12"/>
      <c r="B26" s="96" t="s">
        <v>24</v>
      </c>
      <c r="C26" s="96"/>
      <c r="D26" s="96"/>
      <c r="E26" s="96"/>
      <c r="F26" s="13">
        <v>1.4999999999999999E-2</v>
      </c>
      <c r="G26" s="13"/>
      <c r="H26" s="10">
        <f>PRODUCT(H24,F26)</f>
        <v>579.74439599999994</v>
      </c>
      <c r="I26" s="6"/>
    </row>
    <row r="27" spans="1:9" x14ac:dyDescent="0.25">
      <c r="A27" s="12"/>
      <c r="B27" s="96" t="s">
        <v>25</v>
      </c>
      <c r="C27" s="96"/>
      <c r="D27" s="96"/>
      <c r="E27" s="96"/>
      <c r="F27" s="13">
        <v>0.01</v>
      </c>
      <c r="G27" s="13"/>
      <c r="H27" s="10">
        <f>PRODUCT(H24,F27)</f>
        <v>386.496264</v>
      </c>
      <c r="I27" s="6"/>
    </row>
    <row r="28" spans="1:9" x14ac:dyDescent="0.25">
      <c r="A28" s="12"/>
      <c r="B28" s="96" t="s">
        <v>26</v>
      </c>
      <c r="C28" s="96"/>
      <c r="D28" s="96"/>
      <c r="E28" s="96"/>
      <c r="F28" s="13">
        <v>5.0000000000000001E-3</v>
      </c>
      <c r="G28" s="13"/>
      <c r="H28" s="10">
        <f>PRODUCT(H24,F28)</f>
        <v>193.248132</v>
      </c>
      <c r="I28" s="6"/>
    </row>
    <row r="29" spans="1:9" x14ac:dyDescent="0.25">
      <c r="A29" s="12"/>
      <c r="B29" s="96" t="s">
        <v>27</v>
      </c>
      <c r="C29" s="96"/>
      <c r="D29" s="96"/>
      <c r="E29" s="96"/>
      <c r="F29" s="13">
        <v>0.01</v>
      </c>
      <c r="G29" s="13"/>
      <c r="H29" s="10">
        <f>PRODUCT(H24,F29)</f>
        <v>386.496264</v>
      </c>
      <c r="I29" s="6"/>
    </row>
    <row r="30" spans="1:9" x14ac:dyDescent="0.25">
      <c r="A30" s="12"/>
      <c r="B30" s="96" t="s">
        <v>28</v>
      </c>
      <c r="C30" s="96"/>
      <c r="D30" s="96"/>
      <c r="E30" s="96"/>
      <c r="F30" s="13">
        <v>5.0000000000000001E-3</v>
      </c>
      <c r="G30" s="13"/>
      <c r="H30" s="10">
        <f>PRODUCT(H24,F30)</f>
        <v>193.248132</v>
      </c>
      <c r="I30" s="6"/>
    </row>
    <row r="31" spans="1:9" x14ac:dyDescent="0.25">
      <c r="A31" s="12"/>
      <c r="B31" s="96" t="s">
        <v>29</v>
      </c>
      <c r="C31" s="96"/>
      <c r="D31" s="96"/>
      <c r="E31" s="96"/>
      <c r="F31" s="13">
        <v>5.0000000000000001E-3</v>
      </c>
      <c r="G31" s="13"/>
      <c r="H31" s="10">
        <f>PRODUCT(H24,F31)</f>
        <v>193.248132</v>
      </c>
      <c r="I31" s="6"/>
    </row>
    <row r="32" spans="1:9" x14ac:dyDescent="0.25">
      <c r="A32" s="12"/>
      <c r="B32" s="96" t="s">
        <v>30</v>
      </c>
      <c r="C32" s="96"/>
      <c r="D32" s="96"/>
      <c r="E32" s="96"/>
      <c r="F32" s="13">
        <v>5.0000000000000001E-3</v>
      </c>
      <c r="G32" s="13"/>
      <c r="H32" s="10">
        <f>PRODUCT(H24,F32)</f>
        <v>193.248132</v>
      </c>
      <c r="I32" s="6"/>
    </row>
    <row r="33" spans="1:9" x14ac:dyDescent="0.25">
      <c r="A33" s="12"/>
      <c r="B33" s="96" t="s">
        <v>31</v>
      </c>
      <c r="C33" s="96"/>
      <c r="D33" s="96"/>
      <c r="E33" s="96"/>
      <c r="F33" s="13">
        <v>0.05</v>
      </c>
      <c r="G33" s="13"/>
      <c r="H33" s="10">
        <f>PRODUCT(H24,F33)</f>
        <v>1932.4813200000001</v>
      </c>
      <c r="I33" s="6"/>
    </row>
    <row r="34" spans="1:9" x14ac:dyDescent="0.25">
      <c r="A34" s="12"/>
      <c r="B34" s="96" t="s">
        <v>32</v>
      </c>
      <c r="C34" s="96"/>
      <c r="D34" s="96"/>
      <c r="E34" s="96"/>
      <c r="F34" s="13">
        <v>0.1</v>
      </c>
      <c r="G34" s="13"/>
      <c r="H34" s="10">
        <f>PRODUCT(H24,F34)</f>
        <v>3864.9626400000002</v>
      </c>
      <c r="I34" s="6"/>
    </row>
    <row r="35" spans="1:9" x14ac:dyDescent="0.25">
      <c r="A35" s="18"/>
      <c r="B35" s="9"/>
      <c r="C35" s="9"/>
      <c r="D35" s="9"/>
      <c r="E35" s="9"/>
      <c r="F35" s="9"/>
      <c r="G35" s="9"/>
      <c r="H35" s="9"/>
      <c r="I35" s="9"/>
    </row>
    <row r="36" spans="1:9" x14ac:dyDescent="0.25">
      <c r="A36" s="18"/>
      <c r="B36" s="100" t="s">
        <v>37</v>
      </c>
      <c r="C36" s="100"/>
      <c r="D36" s="100"/>
      <c r="E36" s="100"/>
      <c r="F36" s="100"/>
      <c r="G36" s="15"/>
      <c r="H36" s="19">
        <f>SUM(H26:H34)</f>
        <v>7923.1734120000001</v>
      </c>
      <c r="I36" s="9"/>
    </row>
    <row r="37" spans="1:9" x14ac:dyDescent="0.25">
      <c r="A37" s="18"/>
      <c r="B37" s="9"/>
      <c r="C37" s="9"/>
      <c r="D37" s="9"/>
      <c r="E37" s="9"/>
      <c r="F37" s="9"/>
      <c r="G37" s="9"/>
      <c r="H37" s="9"/>
      <c r="I37" s="9"/>
    </row>
    <row r="38" spans="1:9" x14ac:dyDescent="0.25">
      <c r="A38" s="18"/>
      <c r="B38" s="101" t="s">
        <v>149</v>
      </c>
      <c r="C38" s="101"/>
      <c r="D38" s="101"/>
      <c r="E38" s="101"/>
      <c r="F38" s="101"/>
      <c r="G38" s="20"/>
      <c r="H38" s="21">
        <f>SUM(H24,H36)</f>
        <v>46572.799811999997</v>
      </c>
      <c r="I38" s="9"/>
    </row>
    <row r="39" spans="1:9" x14ac:dyDescent="0.25">
      <c r="A39" s="18"/>
      <c r="B39" s="9"/>
      <c r="C39" s="9"/>
      <c r="D39" s="9"/>
      <c r="E39" s="9"/>
      <c r="F39" s="9"/>
      <c r="G39" s="9"/>
      <c r="H39" s="9"/>
      <c r="I39" s="9"/>
    </row>
    <row r="40" spans="1:9" x14ac:dyDescent="0.25">
      <c r="A40" s="18"/>
      <c r="B40" s="101" t="s">
        <v>42</v>
      </c>
      <c r="C40" s="101"/>
      <c r="D40" s="101"/>
      <c r="E40" s="101"/>
      <c r="F40" s="101"/>
      <c r="G40" s="20"/>
      <c r="H40" s="21">
        <f>CEILING(H38/D3,1)</f>
        <v>466</v>
      </c>
      <c r="I40" s="9"/>
    </row>
  </sheetData>
  <mergeCells count="20">
    <mergeCell ref="B38:F38"/>
    <mergeCell ref="B40:F40"/>
    <mergeCell ref="B30:E30"/>
    <mergeCell ref="B31:E31"/>
    <mergeCell ref="B32:E32"/>
    <mergeCell ref="B33:E33"/>
    <mergeCell ref="B34:E34"/>
    <mergeCell ref="B36:F36"/>
    <mergeCell ref="B20:C20"/>
    <mergeCell ref="B24:F24"/>
    <mergeCell ref="B26:E26"/>
    <mergeCell ref="B27:E27"/>
    <mergeCell ref="B28:E28"/>
    <mergeCell ref="B29:E29"/>
    <mergeCell ref="B3:C3"/>
    <mergeCell ref="B6:C6"/>
    <mergeCell ref="B10:C10"/>
    <mergeCell ref="D10:F10"/>
    <mergeCell ref="B16:C16"/>
    <mergeCell ref="D16:F16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8250D-AF1F-427A-BD2D-DCA7A4B41642}">
  <dimension ref="A1:I40"/>
  <sheetViews>
    <sheetView view="pageBreakPreview" zoomScaleNormal="100" zoomScaleSheetLayoutView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11" defaultRowHeight="15.75" x14ac:dyDescent="0.25"/>
  <cols>
    <col min="1" max="1" width="12.875" customWidth="1"/>
    <col min="2" max="2" width="25.875" customWidth="1"/>
    <col min="3" max="3" width="40.875" customWidth="1"/>
    <col min="4" max="4" width="12.875" customWidth="1"/>
    <col min="6" max="6" width="12.875" customWidth="1"/>
    <col min="8" max="8" width="15.875" customWidth="1"/>
    <col min="9" max="9" width="30.875" customWidth="1"/>
  </cols>
  <sheetData>
    <row r="1" spans="1:9" x14ac:dyDescent="0.25">
      <c r="A1" s="17" t="s">
        <v>50</v>
      </c>
      <c r="B1" s="14" t="s">
        <v>79</v>
      </c>
      <c r="C1" s="14"/>
      <c r="D1" s="9"/>
      <c r="E1" s="9"/>
      <c r="F1" s="9"/>
      <c r="G1" s="9"/>
      <c r="H1" s="9"/>
      <c r="I1" s="9"/>
    </row>
    <row r="2" spans="1:9" x14ac:dyDescent="0.25">
      <c r="A2" s="12"/>
      <c r="B2" s="14" t="s">
        <v>819</v>
      </c>
      <c r="C2" s="14"/>
      <c r="D2" s="9"/>
      <c r="E2" s="9"/>
      <c r="F2" s="9"/>
      <c r="G2" s="9"/>
      <c r="H2" s="9"/>
      <c r="I2" s="9"/>
    </row>
    <row r="3" spans="1:9" x14ac:dyDescent="0.25">
      <c r="A3" s="18"/>
      <c r="B3" s="97" t="s">
        <v>41</v>
      </c>
      <c r="C3" s="97"/>
      <c r="D3" s="7">
        <v>100</v>
      </c>
      <c r="E3" s="7" t="s">
        <v>40</v>
      </c>
      <c r="F3" s="7"/>
      <c r="G3" s="7"/>
      <c r="H3" s="7"/>
      <c r="I3" s="7"/>
    </row>
    <row r="4" spans="1:9" x14ac:dyDescent="0.25">
      <c r="A4" s="18"/>
      <c r="B4" s="23"/>
      <c r="C4" s="23"/>
      <c r="D4" s="7"/>
      <c r="E4" s="7"/>
      <c r="F4" s="7"/>
      <c r="G4" s="7"/>
      <c r="H4" s="7"/>
      <c r="I4" s="7"/>
    </row>
    <row r="5" spans="1:9" x14ac:dyDescent="0.25">
      <c r="A5" s="17" t="s">
        <v>19</v>
      </c>
      <c r="B5" s="17" t="s">
        <v>108</v>
      </c>
      <c r="C5" s="17" t="s">
        <v>33</v>
      </c>
      <c r="D5" s="17" t="s">
        <v>23</v>
      </c>
      <c r="E5" s="17" t="s">
        <v>18</v>
      </c>
      <c r="F5" s="17" t="s">
        <v>49</v>
      </c>
      <c r="G5" s="17" t="s">
        <v>46</v>
      </c>
      <c r="H5" s="17" t="s">
        <v>34</v>
      </c>
      <c r="I5" s="17" t="s">
        <v>35</v>
      </c>
    </row>
    <row r="6" spans="1:9" x14ac:dyDescent="0.25">
      <c r="A6" s="17"/>
      <c r="B6" s="98" t="s">
        <v>17</v>
      </c>
      <c r="C6" s="98"/>
      <c r="D6" s="18"/>
      <c r="E6" s="18"/>
      <c r="F6" s="18"/>
      <c r="G6" s="18"/>
      <c r="H6" s="17"/>
      <c r="I6" s="17"/>
    </row>
    <row r="7" spans="1:9" x14ac:dyDescent="0.25">
      <c r="A7" s="12" t="str">
        <f>'TN SOR data - Material'!A2</f>
        <v>M-0001</v>
      </c>
      <c r="B7" s="8" t="s">
        <v>820</v>
      </c>
      <c r="C7" s="29" t="str">
        <f>VLOOKUP(A7,'TN SOR data - Material'!A:D,2,FALSE)</f>
        <v>Cement</v>
      </c>
      <c r="D7" s="28">
        <v>1.123</v>
      </c>
      <c r="E7" s="8" t="s">
        <v>114</v>
      </c>
      <c r="F7" s="11">
        <f>VLOOKUP(A7,'TN SOR data - Material'!A:D,4,FALSE)</f>
        <v>5602.5</v>
      </c>
      <c r="G7" s="135" t="str">
        <f>VLOOKUP(A7,Table24[],3,FALSE)</f>
        <v>MT</v>
      </c>
      <c r="H7" s="10">
        <f t="shared" ref="H7:H8" si="0">PRODUCT(D7,F7)</f>
        <v>6291.6075000000001</v>
      </c>
      <c r="I7" s="6"/>
    </row>
    <row r="8" spans="1:9" x14ac:dyDescent="0.25">
      <c r="A8" s="12" t="str">
        <f>'TN SOR data - Material'!A95</f>
        <v>M-0126</v>
      </c>
      <c r="B8" s="8" t="s">
        <v>145</v>
      </c>
      <c r="C8" s="29" t="str">
        <f>VLOOKUP(A8,'TN SOR data - Material'!A:D,2,FALSE)</f>
        <v>Plastering Sand (P-Sand)</v>
      </c>
      <c r="D8" s="24">
        <v>2.34</v>
      </c>
      <c r="E8" s="8" t="s">
        <v>40</v>
      </c>
      <c r="F8" s="11">
        <f>VLOOKUP(A8,'TN SOR data - Material'!A:D,4,FALSE)</f>
        <v>1584.7</v>
      </c>
      <c r="G8" s="135" t="str">
        <f>VLOOKUP(A8,Table24[],3,FALSE)</f>
        <v>Cu.M</v>
      </c>
      <c r="H8" s="10">
        <f t="shared" si="0"/>
        <v>3708.1979999999999</v>
      </c>
      <c r="I8" s="6"/>
    </row>
    <row r="9" spans="1:9" x14ac:dyDescent="0.25">
      <c r="A9" s="12"/>
      <c r="B9" s="7"/>
      <c r="C9" s="7"/>
      <c r="D9" s="8"/>
      <c r="E9" s="8"/>
      <c r="F9" s="11"/>
      <c r="G9" s="11"/>
      <c r="H9" s="10"/>
      <c r="I9" s="6"/>
    </row>
    <row r="10" spans="1:9" x14ac:dyDescent="0.25">
      <c r="A10" s="17"/>
      <c r="B10" s="98" t="s">
        <v>38</v>
      </c>
      <c r="C10" s="98"/>
      <c r="D10" s="99"/>
      <c r="E10" s="99"/>
      <c r="F10" s="99"/>
      <c r="G10" s="22"/>
      <c r="H10" s="17"/>
      <c r="I10" s="17"/>
    </row>
    <row r="11" spans="1:9" x14ac:dyDescent="0.25">
      <c r="A11" s="12" t="str">
        <f>'TN SOR data - Labour'!A26</f>
        <v>L-0029</v>
      </c>
      <c r="B11" s="8" t="s">
        <v>148</v>
      </c>
      <c r="C11" s="29" t="str">
        <f>VLOOKUP(A11,'TN SOR data - Labour'!A:D,2,FALSE)</f>
        <v>Mason for Brick Work-I Class</v>
      </c>
      <c r="D11" s="8">
        <v>1</v>
      </c>
      <c r="E11" s="8" t="s">
        <v>20</v>
      </c>
      <c r="F11" s="11">
        <f>VLOOKUP(A11,'TN SOR data - Labour'!A:D,4,FALSE)</f>
        <v>1174</v>
      </c>
      <c r="G11" s="135" t="str">
        <f>VLOOKUP(A11,Table1[],3,FALSE)</f>
        <v>Day</v>
      </c>
      <c r="H11" s="10">
        <f>PRODUCT(D11,F11)</f>
        <v>1174</v>
      </c>
      <c r="I11" s="6"/>
    </row>
    <row r="12" spans="1:9" x14ac:dyDescent="0.25">
      <c r="A12" s="12" t="str">
        <f>'TN SOR data - Labour'!A26</f>
        <v>L-0029</v>
      </c>
      <c r="B12" s="8" t="s">
        <v>22</v>
      </c>
      <c r="C12" s="29" t="str">
        <f>VLOOKUP(A12,'TN SOR data - Labour'!A:D,2,FALSE)</f>
        <v>Mason for Brick Work-I Class</v>
      </c>
      <c r="D12" s="8">
        <v>10</v>
      </c>
      <c r="E12" s="8" t="s">
        <v>20</v>
      </c>
      <c r="F12" s="11">
        <f>VLOOKUP(A12,'TN SOR data - Labour'!A:D,4,FALSE)</f>
        <v>1174</v>
      </c>
      <c r="G12" s="135" t="str">
        <f>VLOOKUP(A12,Table1[],3,FALSE)</f>
        <v>Day</v>
      </c>
      <c r="H12" s="10">
        <f>PRODUCT(D12,F12)</f>
        <v>11740</v>
      </c>
      <c r="I12" s="6"/>
    </row>
    <row r="13" spans="1:9" x14ac:dyDescent="0.25">
      <c r="A13" s="12" t="str">
        <f>'TN SOR data - Labour'!A63</f>
        <v>L-0073</v>
      </c>
      <c r="B13" s="8" t="s">
        <v>44</v>
      </c>
      <c r="C13" s="29" t="str">
        <f>VLOOKUP(A13,'[1]Tamil Nadu SOR data - Labour'!$A:$D,2,FALSE)</f>
        <v>Mazdoor Category-I</v>
      </c>
      <c r="D13" s="8">
        <v>10</v>
      </c>
      <c r="E13" s="8" t="s">
        <v>20</v>
      </c>
      <c r="F13" s="11">
        <f>VLOOKUP(A13,'TN SOR data - Labour'!A:D,4,FALSE)</f>
        <v>766</v>
      </c>
      <c r="G13" s="135" t="str">
        <f>VLOOKUP(A13,Table1[],3,FALSE)</f>
        <v>Day</v>
      </c>
      <c r="H13" s="10">
        <f t="shared" ref="H13" si="1">PRODUCT(D13,F13)</f>
        <v>7660</v>
      </c>
      <c r="I13" s="6"/>
    </row>
    <row r="14" spans="1:9" x14ac:dyDescent="0.25">
      <c r="A14" s="12" t="str">
        <f>'TN SOR data - Labour'!A85</f>
        <v>L-0098</v>
      </c>
      <c r="B14" s="8" t="s">
        <v>45</v>
      </c>
      <c r="C14" s="29" t="str">
        <f>VLOOKUP(A14,'TN SOR data - Labour'!A:D,2,FALSE)</f>
        <v>Mazdoor Category-II</v>
      </c>
      <c r="D14" s="8">
        <v>5</v>
      </c>
      <c r="E14" s="8" t="s">
        <v>20</v>
      </c>
      <c r="F14" s="11">
        <f>VLOOKUP(A14,'TN SOR data - Labour'!A:D,4,FALSE)</f>
        <v>628</v>
      </c>
      <c r="G14" s="135" t="str">
        <f>VLOOKUP(A14,Table1[],3,FALSE)</f>
        <v>Day</v>
      </c>
      <c r="H14" s="10">
        <f>PRODUCT(D14,F14)</f>
        <v>3140</v>
      </c>
      <c r="I14" s="6"/>
    </row>
    <row r="15" spans="1:9" x14ac:dyDescent="0.25">
      <c r="A15" s="12"/>
      <c r="B15" s="6"/>
      <c r="C15" s="6"/>
      <c r="D15" s="6"/>
      <c r="E15" s="6"/>
      <c r="F15" s="6"/>
      <c r="G15" s="6"/>
      <c r="H15" s="6"/>
      <c r="I15" s="6"/>
    </row>
    <row r="16" spans="1:9" x14ac:dyDescent="0.25">
      <c r="A16" s="17"/>
      <c r="B16" s="98" t="s">
        <v>39</v>
      </c>
      <c r="C16" s="98"/>
      <c r="D16" s="99"/>
      <c r="E16" s="99"/>
      <c r="F16" s="99"/>
      <c r="G16" s="22"/>
      <c r="H16" s="17"/>
      <c r="I16" s="17"/>
    </row>
    <row r="17" spans="1:9" x14ac:dyDescent="0.25">
      <c r="A17" s="12" t="str">
        <f>'SOR data - Equipment'!A23</f>
        <v>H-0118</v>
      </c>
      <c r="B17" s="8" t="s">
        <v>43</v>
      </c>
      <c r="C17" s="29" t="str">
        <f>VLOOKUP(A17,'SOR data - Equipment'!A:D,2,FALSE)</f>
        <v>Hire charges for Masonry Scaffolding</v>
      </c>
      <c r="D17" s="8">
        <v>1</v>
      </c>
      <c r="E17" s="8" t="s">
        <v>48</v>
      </c>
      <c r="F17" s="11">
        <f>VLOOKUP(A17,'SOR data - Equipment'!A:D,4,FALSE)</f>
        <v>750</v>
      </c>
      <c r="G17" s="135" t="str">
        <f>VLOOKUP(A17,'SOR data - Equipment'!A:D,3,FALSE)</f>
        <v>Day</v>
      </c>
      <c r="H17" s="10">
        <f>PRODUCT(D17,F17)</f>
        <v>750</v>
      </c>
      <c r="I17" s="6"/>
    </row>
    <row r="18" spans="1:9" x14ac:dyDescent="0.25">
      <c r="A18" s="12" t="str">
        <f>'SOR data - Equipment'!A22</f>
        <v>H-0117</v>
      </c>
      <c r="B18" s="8" t="s">
        <v>140</v>
      </c>
      <c r="C18" s="29" t="str">
        <f>VLOOKUP(A18,'SOR data - Equipment'!A:D,2,FALSE)</f>
        <v>Hire charges for Masonry Tools and Tackles</v>
      </c>
      <c r="D18" s="8">
        <v>1</v>
      </c>
      <c r="E18" s="8" t="s">
        <v>48</v>
      </c>
      <c r="F18" s="11">
        <f>VLOOKUP(A18,'SOR data - Equipment'!A:D,4,FALSE)</f>
        <v>450</v>
      </c>
      <c r="G18" s="135" t="str">
        <f>VLOOKUP(A18,'SOR data - Equipment'!A:D,3,FALSE)</f>
        <v>Day</v>
      </c>
      <c r="H18" s="10">
        <f>PRODUCT(D18,F18)</f>
        <v>450</v>
      </c>
      <c r="I18" s="6"/>
    </row>
    <row r="19" spans="1:9" x14ac:dyDescent="0.25">
      <c r="A19" s="12"/>
      <c r="B19" s="8"/>
      <c r="C19" s="8"/>
      <c r="D19" s="8"/>
      <c r="E19" s="8"/>
      <c r="F19" s="11"/>
      <c r="G19" s="11"/>
      <c r="H19" s="10"/>
      <c r="I19" s="6"/>
    </row>
    <row r="20" spans="1:9" x14ac:dyDescent="0.25">
      <c r="A20" s="12"/>
      <c r="B20" s="98" t="s">
        <v>180</v>
      </c>
      <c r="C20" s="98"/>
      <c r="D20" s="8"/>
      <c r="E20" s="8"/>
      <c r="F20" s="11"/>
      <c r="G20" s="11"/>
      <c r="H20" s="10"/>
      <c r="I20" s="6"/>
    </row>
    <row r="21" spans="1:9" x14ac:dyDescent="0.25">
      <c r="A21" s="12"/>
      <c r="B21" s="151" t="str">
        <f>'LEAD &amp; LIFT'!A20</f>
        <v>Cement</v>
      </c>
      <c r="C21" s="8"/>
      <c r="D21" s="24">
        <f>D7</f>
        <v>1.123</v>
      </c>
      <c r="E21" s="8" t="str">
        <f>E7</f>
        <v>MT</v>
      </c>
      <c r="F21" s="11">
        <f>VLOOKUP(B21,Table13[#All],5,FALSE)</f>
        <v>376.06</v>
      </c>
      <c r="G21" s="8" t="str">
        <f>G7</f>
        <v>MT</v>
      </c>
      <c r="H21" s="10">
        <f>(F21*D21)</f>
        <v>422.31538</v>
      </c>
      <c r="I21" s="6"/>
    </row>
    <row r="22" spans="1:9" x14ac:dyDescent="0.25">
      <c r="A22" s="12"/>
      <c r="B22" s="151" t="str">
        <f>'LEAD &amp; LIFT'!A23</f>
        <v>Fine Aggregate</v>
      </c>
      <c r="C22" s="8"/>
      <c r="D22" s="24">
        <f>D8</f>
        <v>2.34</v>
      </c>
      <c r="E22" s="8" t="str">
        <f>E8</f>
        <v>Cu.M</v>
      </c>
      <c r="F22" s="11">
        <f>VLOOKUP(B22,Table13[#All],5,FALSE)</f>
        <v>350.55</v>
      </c>
      <c r="G22" s="8" t="str">
        <f>G8</f>
        <v>Cu.M</v>
      </c>
      <c r="H22" s="10">
        <f>(F22*D22)</f>
        <v>820.28699999999992</v>
      </c>
      <c r="I22" s="6"/>
    </row>
    <row r="23" spans="1:9" x14ac:dyDescent="0.25">
      <c r="A23" s="12"/>
      <c r="B23" s="8"/>
      <c r="C23" s="8"/>
      <c r="D23" s="8"/>
      <c r="E23" s="8"/>
      <c r="F23" s="11"/>
      <c r="G23" s="11"/>
      <c r="H23" s="10"/>
      <c r="I23" s="6"/>
    </row>
    <row r="24" spans="1:9" x14ac:dyDescent="0.25">
      <c r="A24" s="12"/>
      <c r="B24" s="100" t="s">
        <v>36</v>
      </c>
      <c r="C24" s="100"/>
      <c r="D24" s="100"/>
      <c r="E24" s="100"/>
      <c r="F24" s="100"/>
      <c r="G24" s="15"/>
      <c r="H24" s="19">
        <f>SUM(H7:H8,H11:H14,H17:H18,H21:H22)</f>
        <v>36156.407879999999</v>
      </c>
      <c r="I24" s="8"/>
    </row>
    <row r="25" spans="1:9" x14ac:dyDescent="0.25">
      <c r="A25" s="12"/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12"/>
      <c r="B26" s="96" t="s">
        <v>24</v>
      </c>
      <c r="C26" s="96"/>
      <c r="D26" s="96"/>
      <c r="E26" s="96"/>
      <c r="F26" s="13">
        <v>1.4999999999999999E-2</v>
      </c>
      <c r="G26" s="13"/>
      <c r="H26" s="10">
        <f>PRODUCT(H24,F26)</f>
        <v>542.34611819999998</v>
      </c>
      <c r="I26" s="6"/>
    </row>
    <row r="27" spans="1:9" x14ac:dyDescent="0.25">
      <c r="A27" s="12"/>
      <c r="B27" s="96" t="s">
        <v>25</v>
      </c>
      <c r="C27" s="96"/>
      <c r="D27" s="96"/>
      <c r="E27" s="96"/>
      <c r="F27" s="13">
        <v>0.01</v>
      </c>
      <c r="G27" s="13"/>
      <c r="H27" s="10">
        <f>PRODUCT(H24,F27)</f>
        <v>361.5640788</v>
      </c>
      <c r="I27" s="6"/>
    </row>
    <row r="28" spans="1:9" x14ac:dyDescent="0.25">
      <c r="A28" s="12"/>
      <c r="B28" s="96" t="s">
        <v>26</v>
      </c>
      <c r="C28" s="96"/>
      <c r="D28" s="96"/>
      <c r="E28" s="96"/>
      <c r="F28" s="13">
        <v>5.0000000000000001E-3</v>
      </c>
      <c r="G28" s="13"/>
      <c r="H28" s="10">
        <f>PRODUCT(H24,F28)</f>
        <v>180.7820394</v>
      </c>
      <c r="I28" s="6"/>
    </row>
    <row r="29" spans="1:9" x14ac:dyDescent="0.25">
      <c r="A29" s="12"/>
      <c r="B29" s="96" t="s">
        <v>27</v>
      </c>
      <c r="C29" s="96"/>
      <c r="D29" s="96"/>
      <c r="E29" s="96"/>
      <c r="F29" s="13">
        <v>0.01</v>
      </c>
      <c r="G29" s="13"/>
      <c r="H29" s="10">
        <f>PRODUCT(H24,F29)</f>
        <v>361.5640788</v>
      </c>
      <c r="I29" s="6"/>
    </row>
    <row r="30" spans="1:9" x14ac:dyDescent="0.25">
      <c r="A30" s="12"/>
      <c r="B30" s="96" t="s">
        <v>28</v>
      </c>
      <c r="C30" s="96"/>
      <c r="D30" s="96"/>
      <c r="E30" s="96"/>
      <c r="F30" s="13">
        <v>5.0000000000000001E-3</v>
      </c>
      <c r="G30" s="13"/>
      <c r="H30" s="10">
        <f>PRODUCT(H24,F30)</f>
        <v>180.7820394</v>
      </c>
      <c r="I30" s="6"/>
    </row>
    <row r="31" spans="1:9" x14ac:dyDescent="0.25">
      <c r="A31" s="12"/>
      <c r="B31" s="96" t="s">
        <v>29</v>
      </c>
      <c r="C31" s="96"/>
      <c r="D31" s="96"/>
      <c r="E31" s="96"/>
      <c r="F31" s="13">
        <v>5.0000000000000001E-3</v>
      </c>
      <c r="G31" s="13"/>
      <c r="H31" s="10">
        <f>PRODUCT(H24,F31)</f>
        <v>180.7820394</v>
      </c>
      <c r="I31" s="6"/>
    </row>
    <row r="32" spans="1:9" x14ac:dyDescent="0.25">
      <c r="A32" s="12"/>
      <c r="B32" s="96" t="s">
        <v>30</v>
      </c>
      <c r="C32" s="96"/>
      <c r="D32" s="96"/>
      <c r="E32" s="96"/>
      <c r="F32" s="13">
        <v>5.0000000000000001E-3</v>
      </c>
      <c r="G32" s="13"/>
      <c r="H32" s="10">
        <f>PRODUCT(H24,F32)</f>
        <v>180.7820394</v>
      </c>
      <c r="I32" s="6"/>
    </row>
    <row r="33" spans="1:9" x14ac:dyDescent="0.25">
      <c r="A33" s="12"/>
      <c r="B33" s="96" t="s">
        <v>31</v>
      </c>
      <c r="C33" s="96"/>
      <c r="D33" s="96"/>
      <c r="E33" s="96"/>
      <c r="F33" s="13">
        <v>0.05</v>
      </c>
      <c r="G33" s="13"/>
      <c r="H33" s="10">
        <f>PRODUCT(H24,F33)</f>
        <v>1807.8203940000001</v>
      </c>
      <c r="I33" s="6"/>
    </row>
    <row r="34" spans="1:9" x14ac:dyDescent="0.25">
      <c r="A34" s="12"/>
      <c r="B34" s="96" t="s">
        <v>32</v>
      </c>
      <c r="C34" s="96"/>
      <c r="D34" s="96"/>
      <c r="E34" s="96"/>
      <c r="F34" s="13">
        <v>0.1</v>
      </c>
      <c r="G34" s="13"/>
      <c r="H34" s="10">
        <f>PRODUCT(H24,F34)</f>
        <v>3615.6407880000002</v>
      </c>
      <c r="I34" s="6"/>
    </row>
    <row r="35" spans="1:9" x14ac:dyDescent="0.25">
      <c r="A35" s="18"/>
      <c r="B35" s="9"/>
      <c r="C35" s="9"/>
      <c r="D35" s="9"/>
      <c r="E35" s="9"/>
      <c r="F35" s="9"/>
      <c r="G35" s="9"/>
      <c r="H35" s="9"/>
      <c r="I35" s="9"/>
    </row>
    <row r="36" spans="1:9" x14ac:dyDescent="0.25">
      <c r="A36" s="18"/>
      <c r="B36" s="100" t="s">
        <v>37</v>
      </c>
      <c r="C36" s="100"/>
      <c r="D36" s="100"/>
      <c r="E36" s="100"/>
      <c r="F36" s="100"/>
      <c r="G36" s="15"/>
      <c r="H36" s="19">
        <f>SUM(H26:H34)</f>
        <v>7412.0636154000003</v>
      </c>
      <c r="I36" s="9"/>
    </row>
    <row r="37" spans="1:9" x14ac:dyDescent="0.25">
      <c r="A37" s="18"/>
      <c r="B37" s="9"/>
      <c r="C37" s="9"/>
      <c r="D37" s="9"/>
      <c r="E37" s="9"/>
      <c r="F37" s="9"/>
      <c r="G37" s="9"/>
      <c r="H37" s="9"/>
      <c r="I37" s="9"/>
    </row>
    <row r="38" spans="1:9" x14ac:dyDescent="0.25">
      <c r="A38" s="18"/>
      <c r="B38" s="101" t="s">
        <v>167</v>
      </c>
      <c r="C38" s="101"/>
      <c r="D38" s="101"/>
      <c r="E38" s="101"/>
      <c r="F38" s="101"/>
      <c r="G38" s="20"/>
      <c r="H38" s="21">
        <f>SUM(H24,H36)</f>
        <v>43568.471495400001</v>
      </c>
      <c r="I38" s="9"/>
    </row>
    <row r="39" spans="1:9" x14ac:dyDescent="0.25">
      <c r="A39" s="18"/>
      <c r="B39" s="9"/>
      <c r="C39" s="9"/>
      <c r="D39" s="9"/>
      <c r="E39" s="9"/>
      <c r="F39" s="9"/>
      <c r="G39" s="9"/>
      <c r="H39" s="9"/>
      <c r="I39" s="9"/>
    </row>
    <row r="40" spans="1:9" x14ac:dyDescent="0.25">
      <c r="A40" s="18"/>
      <c r="B40" s="101" t="s">
        <v>42</v>
      </c>
      <c r="C40" s="101"/>
      <c r="D40" s="101"/>
      <c r="E40" s="101"/>
      <c r="F40" s="101"/>
      <c r="G40" s="20"/>
      <c r="H40" s="21">
        <f>CEILING(H38/D3,1)</f>
        <v>436</v>
      </c>
      <c r="I40" s="9"/>
    </row>
  </sheetData>
  <mergeCells count="20">
    <mergeCell ref="B38:F38"/>
    <mergeCell ref="B40:F40"/>
    <mergeCell ref="B30:E30"/>
    <mergeCell ref="B31:E31"/>
    <mergeCell ref="B32:E32"/>
    <mergeCell ref="B33:E33"/>
    <mergeCell ref="B34:E34"/>
    <mergeCell ref="B36:F36"/>
    <mergeCell ref="B20:C20"/>
    <mergeCell ref="B24:F24"/>
    <mergeCell ref="B26:E26"/>
    <mergeCell ref="B27:E27"/>
    <mergeCell ref="B28:E28"/>
    <mergeCell ref="B29:E29"/>
    <mergeCell ref="B3:C3"/>
    <mergeCell ref="B6:C6"/>
    <mergeCell ref="B10:C10"/>
    <mergeCell ref="D10:F10"/>
    <mergeCell ref="B16:C16"/>
    <mergeCell ref="D16:F16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1CDDA-9D84-4AD1-8880-EA48E871D632}">
  <dimension ref="A1:I40"/>
  <sheetViews>
    <sheetView view="pageBreakPreview" zoomScaleNormal="100" zoomScaleSheetLayoutView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1" sqref="B1:B1048576"/>
    </sheetView>
  </sheetViews>
  <sheetFormatPr defaultColWidth="11" defaultRowHeight="15.75" x14ac:dyDescent="0.25"/>
  <cols>
    <col min="1" max="1" width="12.875" customWidth="1"/>
    <col min="2" max="2" width="25.875" customWidth="1"/>
    <col min="3" max="3" width="40.875" customWidth="1"/>
    <col min="4" max="4" width="12.875" customWidth="1"/>
    <col min="6" max="6" width="12.875" customWidth="1"/>
    <col min="8" max="8" width="15.875" customWidth="1"/>
    <col min="9" max="9" width="30.875" customWidth="1"/>
  </cols>
  <sheetData>
    <row r="1" spans="1:9" x14ac:dyDescent="0.25">
      <c r="A1" s="17" t="s">
        <v>50</v>
      </c>
      <c r="B1" s="14" t="s">
        <v>80</v>
      </c>
      <c r="C1" s="14"/>
      <c r="D1" s="9"/>
      <c r="E1" s="9"/>
      <c r="F1" s="9"/>
      <c r="G1" s="9"/>
      <c r="H1" s="9"/>
      <c r="I1" s="9"/>
    </row>
    <row r="2" spans="1:9" x14ac:dyDescent="0.25">
      <c r="A2" s="12"/>
      <c r="B2" s="14" t="s">
        <v>815</v>
      </c>
      <c r="C2" s="14"/>
      <c r="D2" s="9"/>
      <c r="E2" s="9"/>
      <c r="F2" s="9"/>
      <c r="G2" s="9"/>
      <c r="H2" s="9"/>
      <c r="I2" s="9"/>
    </row>
    <row r="3" spans="1:9" x14ac:dyDescent="0.25">
      <c r="A3" s="18"/>
      <c r="B3" s="97" t="s">
        <v>41</v>
      </c>
      <c r="C3" s="97"/>
      <c r="D3" s="7">
        <v>100</v>
      </c>
      <c r="E3" s="7" t="s">
        <v>40</v>
      </c>
      <c r="F3" s="7"/>
      <c r="G3" s="7"/>
      <c r="H3" s="7"/>
      <c r="I3" s="7"/>
    </row>
    <row r="4" spans="1:9" x14ac:dyDescent="0.25">
      <c r="A4" s="18"/>
      <c r="B4" s="23"/>
      <c r="C4" s="23"/>
      <c r="D4" s="7"/>
      <c r="E4" s="7"/>
      <c r="F4" s="7"/>
      <c r="G4" s="7"/>
      <c r="H4" s="7"/>
      <c r="I4" s="7"/>
    </row>
    <row r="5" spans="1:9" x14ac:dyDescent="0.25">
      <c r="A5" s="17" t="s">
        <v>19</v>
      </c>
      <c r="B5" s="17" t="s">
        <v>108</v>
      </c>
      <c r="C5" s="17" t="s">
        <v>33</v>
      </c>
      <c r="D5" s="17" t="s">
        <v>23</v>
      </c>
      <c r="E5" s="17" t="s">
        <v>18</v>
      </c>
      <c r="F5" s="17" t="s">
        <v>49</v>
      </c>
      <c r="G5" s="17" t="s">
        <v>46</v>
      </c>
      <c r="H5" s="17" t="s">
        <v>34</v>
      </c>
      <c r="I5" s="17" t="s">
        <v>35</v>
      </c>
    </row>
    <row r="6" spans="1:9" x14ac:dyDescent="0.25">
      <c r="A6" s="17"/>
      <c r="B6" s="98" t="s">
        <v>17</v>
      </c>
      <c r="C6" s="98"/>
      <c r="D6" s="18"/>
      <c r="E6" s="18"/>
      <c r="F6" s="18"/>
      <c r="G6" s="18"/>
      <c r="H6" s="17"/>
      <c r="I6" s="17"/>
    </row>
    <row r="7" spans="1:9" x14ac:dyDescent="0.25">
      <c r="A7" s="12" t="str">
        <f>'TN SOR data - Material'!A2</f>
        <v>M-0001</v>
      </c>
      <c r="B7" s="8" t="s">
        <v>818</v>
      </c>
      <c r="C7" s="29" t="str">
        <f>VLOOKUP(A7,'TN SOR data - Material'!A:D,2,FALSE)</f>
        <v>Cement</v>
      </c>
      <c r="D7" s="28">
        <v>0.93600000000000005</v>
      </c>
      <c r="E7" s="8" t="s">
        <v>114</v>
      </c>
      <c r="F7" s="11">
        <f>VLOOKUP(A7,'TN SOR data - Material'!A:D,4,FALSE)</f>
        <v>5602.5</v>
      </c>
      <c r="G7" s="135" t="str">
        <f>VLOOKUP(A7,Table24[],3,FALSE)</f>
        <v>MT</v>
      </c>
      <c r="H7" s="10">
        <f t="shared" ref="H7:H8" si="0">PRODUCT(D7,F7)</f>
        <v>5243.9400000000005</v>
      </c>
      <c r="I7" s="6"/>
    </row>
    <row r="8" spans="1:9" x14ac:dyDescent="0.25">
      <c r="A8" s="12" t="str">
        <f>'TN SOR data - Material'!A95</f>
        <v>M-0126</v>
      </c>
      <c r="B8" s="8" t="s">
        <v>145</v>
      </c>
      <c r="C8" s="29" t="str">
        <f>VLOOKUP(A8,'TN SOR data - Material'!A:D,2,FALSE)</f>
        <v>Plastering Sand (P-Sand)</v>
      </c>
      <c r="D8" s="24">
        <v>2.6</v>
      </c>
      <c r="E8" s="8" t="s">
        <v>40</v>
      </c>
      <c r="F8" s="11">
        <f>VLOOKUP(A8,'TN SOR data - Material'!A:D,4,FALSE)</f>
        <v>1584.7</v>
      </c>
      <c r="G8" s="135" t="str">
        <f>VLOOKUP(A8,Table24[],3,FALSE)</f>
        <v>Cu.M</v>
      </c>
      <c r="H8" s="10">
        <f t="shared" si="0"/>
        <v>4120.22</v>
      </c>
      <c r="I8" s="6"/>
    </row>
    <row r="9" spans="1:9" x14ac:dyDescent="0.25">
      <c r="A9" s="12"/>
      <c r="B9" s="7"/>
      <c r="C9" s="7"/>
      <c r="D9" s="8"/>
      <c r="E9" s="8"/>
      <c r="F9" s="11"/>
      <c r="G9" s="11"/>
      <c r="H9" s="10"/>
      <c r="I9" s="6"/>
    </row>
    <row r="10" spans="1:9" x14ac:dyDescent="0.25">
      <c r="A10" s="17"/>
      <c r="B10" s="98" t="s">
        <v>38</v>
      </c>
      <c r="C10" s="98"/>
      <c r="D10" s="99"/>
      <c r="E10" s="99"/>
      <c r="F10" s="99"/>
      <c r="G10" s="22"/>
      <c r="H10" s="17"/>
      <c r="I10" s="17"/>
    </row>
    <row r="11" spans="1:9" x14ac:dyDescent="0.25">
      <c r="A11" s="12" t="str">
        <f>'TN SOR data - Labour'!A26</f>
        <v>L-0029</v>
      </c>
      <c r="B11" s="8" t="s">
        <v>148</v>
      </c>
      <c r="C11" s="29" t="str">
        <f>VLOOKUP(A11,'TN SOR data - Labour'!A:D,2,FALSE)</f>
        <v>Mason for Brick Work-I Class</v>
      </c>
      <c r="D11" s="8">
        <v>1</v>
      </c>
      <c r="E11" s="8" t="s">
        <v>20</v>
      </c>
      <c r="F11" s="11">
        <f>VLOOKUP(A11,'TN SOR data - Labour'!A:D,4,FALSE)</f>
        <v>1174</v>
      </c>
      <c r="G11" s="135" t="str">
        <f>VLOOKUP(A11,Table1[],3,FALSE)</f>
        <v>Day</v>
      </c>
      <c r="H11" s="10">
        <f>PRODUCT(D11,F11)</f>
        <v>1174</v>
      </c>
      <c r="I11" s="6"/>
    </row>
    <row r="12" spans="1:9" x14ac:dyDescent="0.25">
      <c r="A12" s="12" t="str">
        <f>'TN SOR data - Labour'!A26</f>
        <v>L-0029</v>
      </c>
      <c r="B12" s="8" t="s">
        <v>22</v>
      </c>
      <c r="C12" s="29" t="str">
        <f>VLOOKUP(A12,'TN SOR data - Labour'!A:D,2,FALSE)</f>
        <v>Mason for Brick Work-I Class</v>
      </c>
      <c r="D12" s="8">
        <v>10</v>
      </c>
      <c r="E12" s="8" t="s">
        <v>20</v>
      </c>
      <c r="F12" s="11">
        <f>VLOOKUP(A12,'TN SOR data - Labour'!A:D,4,FALSE)</f>
        <v>1174</v>
      </c>
      <c r="G12" s="135" t="str">
        <f>VLOOKUP(A12,Table1[],3,FALSE)</f>
        <v>Day</v>
      </c>
      <c r="H12" s="10">
        <f>PRODUCT(D12,F12)</f>
        <v>11740</v>
      </c>
      <c r="I12" s="6"/>
    </row>
    <row r="13" spans="1:9" x14ac:dyDescent="0.25">
      <c r="A13" s="12" t="str">
        <f>'TN SOR data - Labour'!A63</f>
        <v>L-0073</v>
      </c>
      <c r="B13" s="8" t="s">
        <v>44</v>
      </c>
      <c r="C13" s="29" t="str">
        <f>VLOOKUP(A13,'[1]Tamil Nadu SOR data - Labour'!$A:$D,2,FALSE)</f>
        <v>Mazdoor Category-I</v>
      </c>
      <c r="D13" s="8">
        <v>10</v>
      </c>
      <c r="E13" s="8" t="s">
        <v>20</v>
      </c>
      <c r="F13" s="11">
        <f>VLOOKUP(A13,'TN SOR data - Labour'!A:D,4,FALSE)</f>
        <v>766</v>
      </c>
      <c r="G13" s="135" t="str">
        <f>VLOOKUP(A13,Table1[],3,FALSE)</f>
        <v>Day</v>
      </c>
      <c r="H13" s="10">
        <f t="shared" ref="H13" si="1">PRODUCT(D13,F13)</f>
        <v>7660</v>
      </c>
      <c r="I13" s="6"/>
    </row>
    <row r="14" spans="1:9" x14ac:dyDescent="0.25">
      <c r="A14" s="12" t="str">
        <f>'TN SOR data - Labour'!A85</f>
        <v>L-0098</v>
      </c>
      <c r="B14" s="8" t="s">
        <v>45</v>
      </c>
      <c r="C14" s="29" t="str">
        <f>VLOOKUP(A14,'TN SOR data - Labour'!A:D,2,FALSE)</f>
        <v>Mazdoor Category-II</v>
      </c>
      <c r="D14" s="8">
        <v>5</v>
      </c>
      <c r="E14" s="8" t="s">
        <v>20</v>
      </c>
      <c r="F14" s="11">
        <f>VLOOKUP(A14,'TN SOR data - Labour'!A:D,4,FALSE)</f>
        <v>628</v>
      </c>
      <c r="G14" s="135" t="str">
        <f>VLOOKUP(A14,Table1[],3,FALSE)</f>
        <v>Day</v>
      </c>
      <c r="H14" s="10">
        <f>PRODUCT(D14,F14)</f>
        <v>3140</v>
      </c>
      <c r="I14" s="6"/>
    </row>
    <row r="15" spans="1:9" x14ac:dyDescent="0.25">
      <c r="A15" s="12"/>
      <c r="B15" s="6"/>
      <c r="C15" s="6"/>
      <c r="D15" s="6"/>
      <c r="E15" s="6"/>
      <c r="F15" s="6"/>
      <c r="G15" s="6"/>
      <c r="H15" s="6"/>
      <c r="I15" s="6"/>
    </row>
    <row r="16" spans="1:9" x14ac:dyDescent="0.25">
      <c r="A16" s="17"/>
      <c r="B16" s="98" t="s">
        <v>39</v>
      </c>
      <c r="C16" s="98"/>
      <c r="D16" s="99"/>
      <c r="E16" s="99"/>
      <c r="F16" s="99"/>
      <c r="G16" s="22"/>
      <c r="H16" s="17"/>
      <c r="I16" s="17"/>
    </row>
    <row r="17" spans="1:9" x14ac:dyDescent="0.25">
      <c r="A17" s="12" t="str">
        <f>'SOR data - Equipment'!A23</f>
        <v>H-0118</v>
      </c>
      <c r="B17" s="8" t="s">
        <v>43</v>
      </c>
      <c r="C17" s="29" t="str">
        <f>VLOOKUP(A17,'SOR data - Equipment'!A:D,2,FALSE)</f>
        <v>Hire charges for Masonry Scaffolding</v>
      </c>
      <c r="D17" s="8">
        <v>1</v>
      </c>
      <c r="E17" s="8" t="s">
        <v>48</v>
      </c>
      <c r="F17" s="11">
        <f>VLOOKUP(A17,'SOR data - Equipment'!A:D,4,FALSE)</f>
        <v>750</v>
      </c>
      <c r="G17" s="135" t="str">
        <f>VLOOKUP(A17,'SOR data - Equipment'!A:D,3,FALSE)</f>
        <v>Day</v>
      </c>
      <c r="H17" s="10">
        <f>PRODUCT(D17,F17)</f>
        <v>750</v>
      </c>
      <c r="I17" s="6"/>
    </row>
    <row r="18" spans="1:9" x14ac:dyDescent="0.25">
      <c r="A18" s="12" t="str">
        <f>'SOR data - Equipment'!A22</f>
        <v>H-0117</v>
      </c>
      <c r="B18" s="8" t="s">
        <v>140</v>
      </c>
      <c r="C18" s="29" t="str">
        <f>VLOOKUP(A18,'SOR data - Equipment'!A:D,2,FALSE)</f>
        <v>Hire charges for Masonry Tools and Tackles</v>
      </c>
      <c r="D18" s="8">
        <v>1</v>
      </c>
      <c r="E18" s="8" t="s">
        <v>48</v>
      </c>
      <c r="F18" s="11">
        <f>VLOOKUP(A18,'SOR data - Equipment'!A:D,4,FALSE)</f>
        <v>450</v>
      </c>
      <c r="G18" s="135" t="str">
        <f>VLOOKUP(A18,'SOR data - Equipment'!A:D,3,FALSE)</f>
        <v>Day</v>
      </c>
      <c r="H18" s="10">
        <f>PRODUCT(D18,F18)</f>
        <v>450</v>
      </c>
      <c r="I18" s="6"/>
    </row>
    <row r="19" spans="1:9" x14ac:dyDescent="0.25">
      <c r="A19" s="12"/>
      <c r="B19" s="8"/>
      <c r="C19" s="8"/>
      <c r="D19" s="8"/>
      <c r="E19" s="8"/>
      <c r="F19" s="11"/>
      <c r="G19" s="11"/>
      <c r="H19" s="10"/>
      <c r="I19" s="6"/>
    </row>
    <row r="20" spans="1:9" x14ac:dyDescent="0.25">
      <c r="A20" s="12"/>
      <c r="B20" s="98" t="s">
        <v>180</v>
      </c>
      <c r="C20" s="98"/>
      <c r="D20" s="8"/>
      <c r="E20" s="8"/>
      <c r="F20" s="11"/>
      <c r="G20" s="11"/>
      <c r="H20" s="10"/>
      <c r="I20" s="6"/>
    </row>
    <row r="21" spans="1:9" x14ac:dyDescent="0.25">
      <c r="A21" s="12"/>
      <c r="B21" s="151" t="str">
        <f>'LEAD &amp; LIFT'!A20</f>
        <v>Cement</v>
      </c>
      <c r="C21" s="8"/>
      <c r="D21" s="24">
        <f>D7</f>
        <v>0.93600000000000005</v>
      </c>
      <c r="E21" s="8" t="str">
        <f>E7</f>
        <v>MT</v>
      </c>
      <c r="F21" s="11">
        <f>VLOOKUP(B21,Table13[#All],5,FALSE)</f>
        <v>376.06</v>
      </c>
      <c r="G21" s="8" t="str">
        <f>G7</f>
        <v>MT</v>
      </c>
      <c r="H21" s="10">
        <f>(F21*D21)</f>
        <v>351.99216000000001</v>
      </c>
      <c r="I21" s="6"/>
    </row>
    <row r="22" spans="1:9" x14ac:dyDescent="0.25">
      <c r="A22" s="12"/>
      <c r="B22" s="151" t="str">
        <f>'LEAD &amp; LIFT'!A23</f>
        <v>Fine Aggregate</v>
      </c>
      <c r="C22" s="8"/>
      <c r="D22" s="24">
        <f>D8</f>
        <v>2.6</v>
      </c>
      <c r="E22" s="8" t="str">
        <f>E8</f>
        <v>Cu.M</v>
      </c>
      <c r="F22" s="11">
        <f>VLOOKUP(B22,Table13[#All],5,FALSE)</f>
        <v>350.55</v>
      </c>
      <c r="G22" s="8" t="str">
        <f>G8</f>
        <v>Cu.M</v>
      </c>
      <c r="H22" s="10">
        <f>(F22*D22)</f>
        <v>911.43000000000006</v>
      </c>
      <c r="I22" s="6"/>
    </row>
    <row r="23" spans="1:9" x14ac:dyDescent="0.25">
      <c r="A23" s="12"/>
      <c r="B23" s="8"/>
      <c r="C23" s="8"/>
      <c r="D23" s="8"/>
      <c r="E23" s="8"/>
      <c r="F23" s="11"/>
      <c r="G23" s="11"/>
      <c r="H23" s="10"/>
      <c r="I23" s="6"/>
    </row>
    <row r="24" spans="1:9" x14ac:dyDescent="0.25">
      <c r="A24" s="12"/>
      <c r="B24" s="100" t="s">
        <v>36</v>
      </c>
      <c r="C24" s="100"/>
      <c r="D24" s="100"/>
      <c r="E24" s="100"/>
      <c r="F24" s="100"/>
      <c r="G24" s="15"/>
      <c r="H24" s="19">
        <f>SUM(H7:H8,H11:H14,H17:H18,H21:H22)</f>
        <v>35541.582160000005</v>
      </c>
      <c r="I24" s="8"/>
    </row>
    <row r="25" spans="1:9" x14ac:dyDescent="0.25">
      <c r="A25" s="12"/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12"/>
      <c r="B26" s="96" t="s">
        <v>24</v>
      </c>
      <c r="C26" s="96"/>
      <c r="D26" s="96"/>
      <c r="E26" s="96"/>
      <c r="F26" s="13">
        <v>1.4999999999999999E-2</v>
      </c>
      <c r="G26" s="13"/>
      <c r="H26" s="10">
        <f>PRODUCT(H24,F26)</f>
        <v>533.12373240000011</v>
      </c>
      <c r="I26" s="6"/>
    </row>
    <row r="27" spans="1:9" x14ac:dyDescent="0.25">
      <c r="A27" s="12"/>
      <c r="B27" s="96" t="s">
        <v>25</v>
      </c>
      <c r="C27" s="96"/>
      <c r="D27" s="96"/>
      <c r="E27" s="96"/>
      <c r="F27" s="13">
        <v>0.01</v>
      </c>
      <c r="G27" s="13"/>
      <c r="H27" s="10">
        <f>PRODUCT(H24,F27)</f>
        <v>355.41582160000007</v>
      </c>
      <c r="I27" s="6"/>
    </row>
    <row r="28" spans="1:9" x14ac:dyDescent="0.25">
      <c r="A28" s="12"/>
      <c r="B28" s="96" t="s">
        <v>26</v>
      </c>
      <c r="C28" s="96"/>
      <c r="D28" s="96"/>
      <c r="E28" s="96"/>
      <c r="F28" s="13">
        <v>5.0000000000000001E-3</v>
      </c>
      <c r="G28" s="13"/>
      <c r="H28" s="10">
        <f>PRODUCT(H24,F28)</f>
        <v>177.70791080000004</v>
      </c>
      <c r="I28" s="6"/>
    </row>
    <row r="29" spans="1:9" x14ac:dyDescent="0.25">
      <c r="A29" s="12"/>
      <c r="B29" s="96" t="s">
        <v>27</v>
      </c>
      <c r="C29" s="96"/>
      <c r="D29" s="96"/>
      <c r="E29" s="96"/>
      <c r="F29" s="13">
        <v>0.01</v>
      </c>
      <c r="G29" s="13"/>
      <c r="H29" s="10">
        <f>PRODUCT(H24,F29)</f>
        <v>355.41582160000007</v>
      </c>
      <c r="I29" s="6"/>
    </row>
    <row r="30" spans="1:9" x14ac:dyDescent="0.25">
      <c r="A30" s="12"/>
      <c r="B30" s="96" t="s">
        <v>28</v>
      </c>
      <c r="C30" s="96"/>
      <c r="D30" s="96"/>
      <c r="E30" s="96"/>
      <c r="F30" s="13">
        <v>5.0000000000000001E-3</v>
      </c>
      <c r="G30" s="13"/>
      <c r="H30" s="10">
        <f>PRODUCT(H24,F30)</f>
        <v>177.70791080000004</v>
      </c>
      <c r="I30" s="6"/>
    </row>
    <row r="31" spans="1:9" x14ac:dyDescent="0.25">
      <c r="A31" s="12"/>
      <c r="B31" s="96" t="s">
        <v>29</v>
      </c>
      <c r="C31" s="96"/>
      <c r="D31" s="96"/>
      <c r="E31" s="96"/>
      <c r="F31" s="13">
        <v>5.0000000000000001E-3</v>
      </c>
      <c r="G31" s="13"/>
      <c r="H31" s="10">
        <f>PRODUCT(H24,F31)</f>
        <v>177.70791080000004</v>
      </c>
      <c r="I31" s="6"/>
    </row>
    <row r="32" spans="1:9" x14ac:dyDescent="0.25">
      <c r="A32" s="12"/>
      <c r="B32" s="96" t="s">
        <v>30</v>
      </c>
      <c r="C32" s="96"/>
      <c r="D32" s="96"/>
      <c r="E32" s="96"/>
      <c r="F32" s="13">
        <v>5.0000000000000001E-3</v>
      </c>
      <c r="G32" s="13"/>
      <c r="H32" s="10">
        <f>PRODUCT(H24,F32)</f>
        <v>177.70791080000004</v>
      </c>
      <c r="I32" s="6"/>
    </row>
    <row r="33" spans="1:9" x14ac:dyDescent="0.25">
      <c r="A33" s="12"/>
      <c r="B33" s="96" t="s">
        <v>31</v>
      </c>
      <c r="C33" s="96"/>
      <c r="D33" s="96"/>
      <c r="E33" s="96"/>
      <c r="F33" s="13">
        <v>0.05</v>
      </c>
      <c r="G33" s="13"/>
      <c r="H33" s="10">
        <f>PRODUCT(H24,F33)</f>
        <v>1777.0791080000004</v>
      </c>
      <c r="I33" s="6"/>
    </row>
    <row r="34" spans="1:9" x14ac:dyDescent="0.25">
      <c r="A34" s="12"/>
      <c r="B34" s="96" t="s">
        <v>32</v>
      </c>
      <c r="C34" s="96"/>
      <c r="D34" s="96"/>
      <c r="E34" s="96"/>
      <c r="F34" s="13">
        <v>0.1</v>
      </c>
      <c r="G34" s="13"/>
      <c r="H34" s="10">
        <f>PRODUCT(H24,F34)</f>
        <v>3554.1582160000007</v>
      </c>
      <c r="I34" s="6"/>
    </row>
    <row r="35" spans="1:9" x14ac:dyDescent="0.25">
      <c r="A35" s="18"/>
      <c r="B35" s="9"/>
      <c r="C35" s="9"/>
      <c r="D35" s="9"/>
      <c r="E35" s="9"/>
      <c r="F35" s="9"/>
      <c r="G35" s="9"/>
      <c r="H35" s="9"/>
      <c r="I35" s="9"/>
    </row>
    <row r="36" spans="1:9" x14ac:dyDescent="0.25">
      <c r="A36" s="18"/>
      <c r="B36" s="100" t="s">
        <v>37</v>
      </c>
      <c r="C36" s="100"/>
      <c r="D36" s="100"/>
      <c r="E36" s="100"/>
      <c r="F36" s="100"/>
      <c r="G36" s="15"/>
      <c r="H36" s="19">
        <f>SUM(H26:H34)</f>
        <v>7286.0243428000012</v>
      </c>
      <c r="I36" s="9"/>
    </row>
    <row r="37" spans="1:9" x14ac:dyDescent="0.25">
      <c r="A37" s="18"/>
      <c r="B37" s="9"/>
      <c r="C37" s="9"/>
      <c r="D37" s="9"/>
      <c r="E37" s="9"/>
      <c r="F37" s="9"/>
      <c r="G37" s="9"/>
      <c r="H37" s="9"/>
      <c r="I37" s="9"/>
    </row>
    <row r="38" spans="1:9" x14ac:dyDescent="0.25">
      <c r="A38" s="18"/>
      <c r="B38" s="101" t="s">
        <v>167</v>
      </c>
      <c r="C38" s="101"/>
      <c r="D38" s="101"/>
      <c r="E38" s="101"/>
      <c r="F38" s="101"/>
      <c r="G38" s="20"/>
      <c r="H38" s="21">
        <f>SUM(H24,H36)</f>
        <v>42827.606502800008</v>
      </c>
      <c r="I38" s="9"/>
    </row>
    <row r="39" spans="1:9" x14ac:dyDescent="0.25">
      <c r="A39" s="18"/>
      <c r="B39" s="9"/>
      <c r="C39" s="9"/>
      <c r="D39" s="9"/>
      <c r="E39" s="9"/>
      <c r="F39" s="9"/>
      <c r="G39" s="9"/>
      <c r="H39" s="9"/>
      <c r="I39" s="9"/>
    </row>
    <row r="40" spans="1:9" x14ac:dyDescent="0.25">
      <c r="A40" s="18"/>
      <c r="B40" s="101" t="s">
        <v>42</v>
      </c>
      <c r="C40" s="101"/>
      <c r="D40" s="101"/>
      <c r="E40" s="101"/>
      <c r="F40" s="101"/>
      <c r="G40" s="20"/>
      <c r="H40" s="21">
        <f>CEILING(H38/D3,1)</f>
        <v>429</v>
      </c>
      <c r="I40" s="9"/>
    </row>
  </sheetData>
  <mergeCells count="20">
    <mergeCell ref="B38:F38"/>
    <mergeCell ref="B40:F40"/>
    <mergeCell ref="B30:E30"/>
    <mergeCell ref="B31:E31"/>
    <mergeCell ref="B32:E32"/>
    <mergeCell ref="B33:E33"/>
    <mergeCell ref="B34:E34"/>
    <mergeCell ref="B36:F36"/>
    <mergeCell ref="B20:C20"/>
    <mergeCell ref="B24:F24"/>
    <mergeCell ref="B26:E26"/>
    <mergeCell ref="B27:E27"/>
    <mergeCell ref="B28:E28"/>
    <mergeCell ref="B29:E29"/>
    <mergeCell ref="B3:C3"/>
    <mergeCell ref="B6:C6"/>
    <mergeCell ref="B10:C10"/>
    <mergeCell ref="D10:F10"/>
    <mergeCell ref="B16:C16"/>
    <mergeCell ref="D16:F16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01EA8-C518-434D-8B59-B54295E74CF3}">
  <dimension ref="A1:I40"/>
  <sheetViews>
    <sheetView view="pageBreakPreview" zoomScaleNormal="100" zoomScaleSheetLayoutView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1" sqref="B1:B1048576"/>
    </sheetView>
  </sheetViews>
  <sheetFormatPr defaultColWidth="11" defaultRowHeight="15.75" x14ac:dyDescent="0.25"/>
  <cols>
    <col min="1" max="1" width="12.875" customWidth="1"/>
    <col min="2" max="2" width="25.875" customWidth="1"/>
    <col min="3" max="3" width="40.875" customWidth="1"/>
    <col min="4" max="4" width="12.875" customWidth="1"/>
    <col min="6" max="6" width="12.875" customWidth="1"/>
    <col min="8" max="8" width="15.875" customWidth="1"/>
    <col min="9" max="9" width="30.875" customWidth="1"/>
  </cols>
  <sheetData>
    <row r="1" spans="1:9" x14ac:dyDescent="0.25">
      <c r="A1" s="17" t="s">
        <v>50</v>
      </c>
      <c r="B1" s="14" t="s">
        <v>81</v>
      </c>
      <c r="C1" s="14"/>
      <c r="D1" s="9"/>
      <c r="E1" s="9"/>
      <c r="F1" s="9"/>
      <c r="G1" s="9"/>
      <c r="H1" s="9"/>
      <c r="I1" s="9"/>
    </row>
    <row r="2" spans="1:9" x14ac:dyDescent="0.25">
      <c r="A2" s="12"/>
      <c r="B2" s="14" t="s">
        <v>817</v>
      </c>
      <c r="C2" s="14"/>
      <c r="D2" s="9"/>
      <c r="E2" s="9"/>
      <c r="F2" s="9"/>
      <c r="G2" s="9"/>
      <c r="H2" s="9"/>
      <c r="I2" s="9"/>
    </row>
    <row r="3" spans="1:9" x14ac:dyDescent="0.25">
      <c r="A3" s="18"/>
      <c r="B3" s="97" t="s">
        <v>41</v>
      </c>
      <c r="C3" s="97"/>
      <c r="D3" s="7">
        <v>100</v>
      </c>
      <c r="E3" s="7" t="s">
        <v>40</v>
      </c>
      <c r="F3" s="7"/>
      <c r="G3" s="7"/>
      <c r="H3" s="7"/>
      <c r="I3" s="7"/>
    </row>
    <row r="4" spans="1:9" x14ac:dyDescent="0.25">
      <c r="A4" s="18"/>
      <c r="B4" s="23"/>
      <c r="C4" s="23"/>
      <c r="D4" s="7"/>
      <c r="E4" s="7"/>
      <c r="F4" s="7"/>
      <c r="G4" s="7"/>
      <c r="H4" s="7"/>
      <c r="I4" s="7"/>
    </row>
    <row r="5" spans="1:9" x14ac:dyDescent="0.25">
      <c r="A5" s="17" t="s">
        <v>19</v>
      </c>
      <c r="B5" s="17" t="s">
        <v>108</v>
      </c>
      <c r="C5" s="17" t="s">
        <v>33</v>
      </c>
      <c r="D5" s="17" t="s">
        <v>23</v>
      </c>
      <c r="E5" s="17" t="s">
        <v>18</v>
      </c>
      <c r="F5" s="17" t="s">
        <v>49</v>
      </c>
      <c r="G5" s="17" t="s">
        <v>46</v>
      </c>
      <c r="H5" s="17" t="s">
        <v>34</v>
      </c>
      <c r="I5" s="17" t="s">
        <v>35</v>
      </c>
    </row>
    <row r="6" spans="1:9" x14ac:dyDescent="0.25">
      <c r="A6" s="17"/>
      <c r="B6" s="98" t="s">
        <v>17</v>
      </c>
      <c r="C6" s="98"/>
      <c r="D6" s="18"/>
      <c r="E6" s="18"/>
      <c r="F6" s="18"/>
      <c r="G6" s="18"/>
      <c r="H6" s="17"/>
      <c r="I6" s="17"/>
    </row>
    <row r="7" spans="1:9" x14ac:dyDescent="0.25">
      <c r="A7" s="12" t="str">
        <f>'TN SOR data - Material'!A2</f>
        <v>M-0001</v>
      </c>
      <c r="B7" s="8" t="s">
        <v>814</v>
      </c>
      <c r="C7" s="29" t="str">
        <f>VLOOKUP(A7,'TN SOR data - Material'!A:D,2,FALSE)</f>
        <v>Cement</v>
      </c>
      <c r="D7" s="28">
        <v>0.504</v>
      </c>
      <c r="E7" s="8" t="s">
        <v>114</v>
      </c>
      <c r="F7" s="11">
        <f>VLOOKUP(A7,'TN SOR data - Material'!A:D,4,FALSE)</f>
        <v>5602.5</v>
      </c>
      <c r="G7" s="135" t="str">
        <f>VLOOKUP(A7,Table24[],3,FALSE)</f>
        <v>MT</v>
      </c>
      <c r="H7" s="10">
        <f t="shared" ref="H7:H8" si="0">PRODUCT(D7,F7)</f>
        <v>2823.66</v>
      </c>
      <c r="I7" s="6"/>
    </row>
    <row r="8" spans="1:9" x14ac:dyDescent="0.25">
      <c r="A8" s="12" t="str">
        <f>'TN SOR data - Material'!A95</f>
        <v>M-0126</v>
      </c>
      <c r="B8" s="8" t="s">
        <v>145</v>
      </c>
      <c r="C8" s="29" t="str">
        <f>VLOOKUP(A8,'TN SOR data - Material'!A:D,2,FALSE)</f>
        <v>Plastering Sand (P-Sand)</v>
      </c>
      <c r="D8" s="24">
        <v>1.75</v>
      </c>
      <c r="E8" s="8" t="s">
        <v>40</v>
      </c>
      <c r="F8" s="11">
        <f>VLOOKUP(A8,'TN SOR data - Material'!A:D,4,FALSE)</f>
        <v>1584.7</v>
      </c>
      <c r="G8" s="135" t="str">
        <f>VLOOKUP(A8,Table24[],3,FALSE)</f>
        <v>Cu.M</v>
      </c>
      <c r="H8" s="10">
        <f t="shared" si="0"/>
        <v>2773.2249999999999</v>
      </c>
      <c r="I8" s="6"/>
    </row>
    <row r="9" spans="1:9" x14ac:dyDescent="0.25">
      <c r="A9" s="12"/>
      <c r="B9" s="7"/>
      <c r="C9" s="7"/>
      <c r="D9" s="8"/>
      <c r="E9" s="8"/>
      <c r="F9" s="11"/>
      <c r="G9" s="11"/>
      <c r="H9" s="10"/>
      <c r="I9" s="6"/>
    </row>
    <row r="10" spans="1:9" x14ac:dyDescent="0.25">
      <c r="A10" s="17"/>
      <c r="B10" s="98" t="s">
        <v>38</v>
      </c>
      <c r="C10" s="98"/>
      <c r="D10" s="99"/>
      <c r="E10" s="99"/>
      <c r="F10" s="99"/>
      <c r="G10" s="22"/>
      <c r="H10" s="17"/>
      <c r="I10" s="17"/>
    </row>
    <row r="11" spans="1:9" x14ac:dyDescent="0.25">
      <c r="A11" s="12" t="str">
        <f>'TN SOR data - Labour'!A26</f>
        <v>L-0029</v>
      </c>
      <c r="B11" s="8" t="s">
        <v>148</v>
      </c>
      <c r="C11" s="29" t="str">
        <f>VLOOKUP(A11,'TN SOR data - Labour'!A:D,2,FALSE)</f>
        <v>Mason for Brick Work-I Class</v>
      </c>
      <c r="D11" s="8">
        <v>1</v>
      </c>
      <c r="E11" s="8" t="s">
        <v>20</v>
      </c>
      <c r="F11" s="11">
        <f>VLOOKUP(A11,'TN SOR data - Labour'!A:D,4,FALSE)</f>
        <v>1174</v>
      </c>
      <c r="G11" s="135" t="str">
        <f>VLOOKUP(A11,Table1[],3,FALSE)</f>
        <v>Day</v>
      </c>
      <c r="H11" s="10">
        <f>PRODUCT(D11,F11)</f>
        <v>1174</v>
      </c>
      <c r="I11" s="6"/>
    </row>
    <row r="12" spans="1:9" x14ac:dyDescent="0.25">
      <c r="A12" s="12" t="str">
        <f>'TN SOR data - Labour'!A26</f>
        <v>L-0029</v>
      </c>
      <c r="B12" s="8" t="s">
        <v>22</v>
      </c>
      <c r="C12" s="29" t="str">
        <f>VLOOKUP(A12,'TN SOR data - Labour'!A:D,2,FALSE)</f>
        <v>Mason for Brick Work-I Class</v>
      </c>
      <c r="D12" s="8">
        <v>10</v>
      </c>
      <c r="E12" s="8" t="s">
        <v>20</v>
      </c>
      <c r="F12" s="11">
        <f>VLOOKUP(A12,'TN SOR data - Labour'!A:D,4,FALSE)</f>
        <v>1174</v>
      </c>
      <c r="G12" s="135" t="str">
        <f>VLOOKUP(A12,Table1[],3,FALSE)</f>
        <v>Day</v>
      </c>
      <c r="H12" s="10">
        <f>PRODUCT(D12,F12)</f>
        <v>11740</v>
      </c>
      <c r="I12" s="6"/>
    </row>
    <row r="13" spans="1:9" x14ac:dyDescent="0.25">
      <c r="A13" s="12" t="str">
        <f>'TN SOR data - Labour'!A63</f>
        <v>L-0073</v>
      </c>
      <c r="B13" s="8" t="s">
        <v>44</v>
      </c>
      <c r="C13" s="29" t="str">
        <f>VLOOKUP(A13,'[1]Tamil Nadu SOR data - Labour'!$A:$D,2,FALSE)</f>
        <v>Mazdoor Category-I</v>
      </c>
      <c r="D13" s="8">
        <v>10</v>
      </c>
      <c r="E13" s="8" t="s">
        <v>20</v>
      </c>
      <c r="F13" s="11">
        <f>VLOOKUP(A13,'TN SOR data - Labour'!A:D,4,FALSE)</f>
        <v>766</v>
      </c>
      <c r="G13" s="135" t="str">
        <f>VLOOKUP(A13,Table1[],3,FALSE)</f>
        <v>Day</v>
      </c>
      <c r="H13" s="10">
        <f t="shared" ref="H13" si="1">PRODUCT(D13,F13)</f>
        <v>7660</v>
      </c>
      <c r="I13" s="6"/>
    </row>
    <row r="14" spans="1:9" x14ac:dyDescent="0.25">
      <c r="A14" s="12" t="str">
        <f>'TN SOR data - Labour'!A85</f>
        <v>L-0098</v>
      </c>
      <c r="B14" s="8" t="s">
        <v>45</v>
      </c>
      <c r="C14" s="29" t="str">
        <f>VLOOKUP(A14,'TN SOR data - Labour'!A:D,2,FALSE)</f>
        <v>Mazdoor Category-II</v>
      </c>
      <c r="D14" s="8">
        <v>5</v>
      </c>
      <c r="E14" s="8" t="s">
        <v>20</v>
      </c>
      <c r="F14" s="11">
        <f>VLOOKUP(A14,'TN SOR data - Labour'!A:D,4,FALSE)</f>
        <v>628</v>
      </c>
      <c r="G14" s="135" t="str">
        <f>VLOOKUP(A14,Table1[],3,FALSE)</f>
        <v>Day</v>
      </c>
      <c r="H14" s="10">
        <f>PRODUCT(D14,F14)</f>
        <v>3140</v>
      </c>
      <c r="I14" s="6"/>
    </row>
    <row r="15" spans="1:9" x14ac:dyDescent="0.25">
      <c r="A15" s="12"/>
      <c r="B15" s="6"/>
      <c r="C15" s="6"/>
      <c r="D15" s="6"/>
      <c r="E15" s="6"/>
      <c r="F15" s="6"/>
      <c r="G15" s="6"/>
      <c r="H15" s="6"/>
      <c r="I15" s="6"/>
    </row>
    <row r="16" spans="1:9" x14ac:dyDescent="0.25">
      <c r="A16" s="17"/>
      <c r="B16" s="98" t="s">
        <v>39</v>
      </c>
      <c r="C16" s="98"/>
      <c r="D16" s="99"/>
      <c r="E16" s="99"/>
      <c r="F16" s="99"/>
      <c r="G16" s="22"/>
      <c r="H16" s="17"/>
      <c r="I16" s="17"/>
    </row>
    <row r="17" spans="1:9" x14ac:dyDescent="0.25">
      <c r="A17" s="12" t="str">
        <f>'SOR data - Equipment'!A23</f>
        <v>H-0118</v>
      </c>
      <c r="B17" s="8" t="s">
        <v>43</v>
      </c>
      <c r="C17" s="29" t="str">
        <f>VLOOKUP(A17,'SOR data - Equipment'!A:D,2,FALSE)</f>
        <v>Hire charges for Masonry Scaffolding</v>
      </c>
      <c r="D17" s="8">
        <v>1</v>
      </c>
      <c r="E17" s="8" t="s">
        <v>48</v>
      </c>
      <c r="F17" s="11">
        <f>VLOOKUP(A17,'SOR data - Equipment'!A:D,4,FALSE)</f>
        <v>750</v>
      </c>
      <c r="G17" s="135" t="str">
        <f>VLOOKUP(A17,'SOR data - Equipment'!A:D,3,FALSE)</f>
        <v>Day</v>
      </c>
      <c r="H17" s="10">
        <f>PRODUCT(D17,F17)</f>
        <v>750</v>
      </c>
      <c r="I17" s="6"/>
    </row>
    <row r="18" spans="1:9" x14ac:dyDescent="0.25">
      <c r="A18" s="12" t="str">
        <f>'SOR data - Equipment'!A22</f>
        <v>H-0117</v>
      </c>
      <c r="B18" s="8" t="s">
        <v>140</v>
      </c>
      <c r="C18" s="29" t="str">
        <f>VLOOKUP(A18,'SOR data - Equipment'!A:D,2,FALSE)</f>
        <v>Hire charges for Masonry Tools and Tackles</v>
      </c>
      <c r="D18" s="8">
        <v>1</v>
      </c>
      <c r="E18" s="8" t="s">
        <v>48</v>
      </c>
      <c r="F18" s="11">
        <f>VLOOKUP(A18,'SOR data - Equipment'!A:D,4,FALSE)</f>
        <v>450</v>
      </c>
      <c r="G18" s="135" t="str">
        <f>VLOOKUP(A18,'SOR data - Equipment'!A:D,3,FALSE)</f>
        <v>Day</v>
      </c>
      <c r="H18" s="10">
        <f>PRODUCT(D18,F18)</f>
        <v>450</v>
      </c>
      <c r="I18" s="6"/>
    </row>
    <row r="19" spans="1:9" x14ac:dyDescent="0.25">
      <c r="A19" s="12"/>
      <c r="B19" s="8"/>
      <c r="C19" s="8"/>
      <c r="D19" s="8"/>
      <c r="E19" s="8"/>
      <c r="F19" s="11"/>
      <c r="G19" s="11"/>
      <c r="H19" s="10"/>
      <c r="I19" s="6"/>
    </row>
    <row r="20" spans="1:9" x14ac:dyDescent="0.25">
      <c r="A20" s="12"/>
      <c r="B20" s="98" t="s">
        <v>180</v>
      </c>
      <c r="C20" s="98"/>
      <c r="D20" s="8"/>
      <c r="E20" s="8"/>
      <c r="F20" s="11"/>
      <c r="G20" s="11"/>
      <c r="H20" s="10"/>
      <c r="I20" s="6"/>
    </row>
    <row r="21" spans="1:9" x14ac:dyDescent="0.25">
      <c r="A21" s="12"/>
      <c r="B21" s="151" t="str">
        <f>'LEAD &amp; LIFT'!A20</f>
        <v>Cement</v>
      </c>
      <c r="C21" s="8"/>
      <c r="D21" s="24">
        <f>D7</f>
        <v>0.504</v>
      </c>
      <c r="E21" s="8" t="str">
        <f>E7</f>
        <v>MT</v>
      </c>
      <c r="F21" s="11">
        <f>VLOOKUP(B21,Table13[#All],5,FALSE)</f>
        <v>376.06</v>
      </c>
      <c r="G21" s="8" t="str">
        <f>G7</f>
        <v>MT</v>
      </c>
      <c r="H21" s="10">
        <f>(F21*D21)</f>
        <v>189.53424000000001</v>
      </c>
      <c r="I21" s="6"/>
    </row>
    <row r="22" spans="1:9" x14ac:dyDescent="0.25">
      <c r="A22" s="12"/>
      <c r="B22" s="151" t="str">
        <f>'LEAD &amp; LIFT'!A23</f>
        <v>Fine Aggregate</v>
      </c>
      <c r="C22" s="8"/>
      <c r="D22" s="24">
        <f>D8</f>
        <v>1.75</v>
      </c>
      <c r="E22" s="8" t="str">
        <f>E8</f>
        <v>Cu.M</v>
      </c>
      <c r="F22" s="11">
        <f>VLOOKUP(B22,Table13[#All],5,FALSE)</f>
        <v>350.55</v>
      </c>
      <c r="G22" s="8" t="str">
        <f>G8</f>
        <v>Cu.M</v>
      </c>
      <c r="H22" s="10">
        <f>(F22*D22)</f>
        <v>613.46249999999998</v>
      </c>
      <c r="I22" s="6"/>
    </row>
    <row r="23" spans="1:9" x14ac:dyDescent="0.25">
      <c r="A23" s="12"/>
      <c r="B23" s="8"/>
      <c r="C23" s="8"/>
      <c r="D23" s="8"/>
      <c r="E23" s="8"/>
      <c r="F23" s="11"/>
      <c r="G23" s="11"/>
      <c r="H23" s="10"/>
      <c r="I23" s="6"/>
    </row>
    <row r="24" spans="1:9" x14ac:dyDescent="0.25">
      <c r="A24" s="12"/>
      <c r="B24" s="100" t="s">
        <v>36</v>
      </c>
      <c r="C24" s="100"/>
      <c r="D24" s="100"/>
      <c r="E24" s="100"/>
      <c r="F24" s="100"/>
      <c r="G24" s="15"/>
      <c r="H24" s="19">
        <f>SUM(H7:H8,H11:H14,H17:H18,H21:H22)</f>
        <v>31313.881740000004</v>
      </c>
      <c r="I24" s="8"/>
    </row>
    <row r="25" spans="1:9" x14ac:dyDescent="0.25">
      <c r="A25" s="12"/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12"/>
      <c r="B26" s="96" t="s">
        <v>24</v>
      </c>
      <c r="C26" s="96"/>
      <c r="D26" s="96"/>
      <c r="E26" s="96"/>
      <c r="F26" s="13">
        <v>1.4999999999999999E-2</v>
      </c>
      <c r="G26" s="13"/>
      <c r="H26" s="10">
        <f>PRODUCT(H24,F26)</f>
        <v>469.70822610000005</v>
      </c>
      <c r="I26" s="6"/>
    </row>
    <row r="27" spans="1:9" x14ac:dyDescent="0.25">
      <c r="A27" s="12"/>
      <c r="B27" s="96" t="s">
        <v>25</v>
      </c>
      <c r="C27" s="96"/>
      <c r="D27" s="96"/>
      <c r="E27" s="96"/>
      <c r="F27" s="13">
        <v>0.01</v>
      </c>
      <c r="G27" s="13"/>
      <c r="H27" s="10">
        <f>PRODUCT(H24,F27)</f>
        <v>313.13881740000005</v>
      </c>
      <c r="I27" s="6"/>
    </row>
    <row r="28" spans="1:9" x14ac:dyDescent="0.25">
      <c r="A28" s="12"/>
      <c r="B28" s="96" t="s">
        <v>26</v>
      </c>
      <c r="C28" s="96"/>
      <c r="D28" s="96"/>
      <c r="E28" s="96"/>
      <c r="F28" s="13">
        <v>5.0000000000000001E-3</v>
      </c>
      <c r="G28" s="13"/>
      <c r="H28" s="10">
        <f>PRODUCT(H24,F28)</f>
        <v>156.56940870000003</v>
      </c>
      <c r="I28" s="6"/>
    </row>
    <row r="29" spans="1:9" x14ac:dyDescent="0.25">
      <c r="A29" s="12"/>
      <c r="B29" s="96" t="s">
        <v>27</v>
      </c>
      <c r="C29" s="96"/>
      <c r="D29" s="96"/>
      <c r="E29" s="96"/>
      <c r="F29" s="13">
        <v>0.01</v>
      </c>
      <c r="G29" s="13"/>
      <c r="H29" s="10">
        <f>PRODUCT(H24,F29)</f>
        <v>313.13881740000005</v>
      </c>
      <c r="I29" s="6"/>
    </row>
    <row r="30" spans="1:9" x14ac:dyDescent="0.25">
      <c r="A30" s="12"/>
      <c r="B30" s="96" t="s">
        <v>28</v>
      </c>
      <c r="C30" s="96"/>
      <c r="D30" s="96"/>
      <c r="E30" s="96"/>
      <c r="F30" s="13">
        <v>5.0000000000000001E-3</v>
      </c>
      <c r="G30" s="13"/>
      <c r="H30" s="10">
        <f>PRODUCT(H24,F30)</f>
        <v>156.56940870000003</v>
      </c>
      <c r="I30" s="6"/>
    </row>
    <row r="31" spans="1:9" x14ac:dyDescent="0.25">
      <c r="A31" s="12"/>
      <c r="B31" s="96" t="s">
        <v>29</v>
      </c>
      <c r="C31" s="96"/>
      <c r="D31" s="96"/>
      <c r="E31" s="96"/>
      <c r="F31" s="13">
        <v>5.0000000000000001E-3</v>
      </c>
      <c r="G31" s="13"/>
      <c r="H31" s="10">
        <f>PRODUCT(H24,F31)</f>
        <v>156.56940870000003</v>
      </c>
      <c r="I31" s="6"/>
    </row>
    <row r="32" spans="1:9" x14ac:dyDescent="0.25">
      <c r="A32" s="12"/>
      <c r="B32" s="96" t="s">
        <v>30</v>
      </c>
      <c r="C32" s="96"/>
      <c r="D32" s="96"/>
      <c r="E32" s="96"/>
      <c r="F32" s="13">
        <v>5.0000000000000001E-3</v>
      </c>
      <c r="G32" s="13"/>
      <c r="H32" s="10">
        <f>PRODUCT(H24,F32)</f>
        <v>156.56940870000003</v>
      </c>
      <c r="I32" s="6"/>
    </row>
    <row r="33" spans="1:9" x14ac:dyDescent="0.25">
      <c r="A33" s="12"/>
      <c r="B33" s="96" t="s">
        <v>31</v>
      </c>
      <c r="C33" s="96"/>
      <c r="D33" s="96"/>
      <c r="E33" s="96"/>
      <c r="F33" s="13">
        <v>0.05</v>
      </c>
      <c r="G33" s="13"/>
      <c r="H33" s="10">
        <f>PRODUCT(H24,F33)</f>
        <v>1565.6940870000003</v>
      </c>
      <c r="I33" s="6"/>
    </row>
    <row r="34" spans="1:9" x14ac:dyDescent="0.25">
      <c r="A34" s="12"/>
      <c r="B34" s="96" t="s">
        <v>32</v>
      </c>
      <c r="C34" s="96"/>
      <c r="D34" s="96"/>
      <c r="E34" s="96"/>
      <c r="F34" s="13">
        <v>0.1</v>
      </c>
      <c r="G34" s="13"/>
      <c r="H34" s="10">
        <f>PRODUCT(H24,F34)</f>
        <v>3131.3881740000006</v>
      </c>
      <c r="I34" s="6"/>
    </row>
    <row r="35" spans="1:9" x14ac:dyDescent="0.25">
      <c r="A35" s="18"/>
      <c r="B35" s="9"/>
      <c r="C35" s="9"/>
      <c r="D35" s="9"/>
      <c r="E35" s="9"/>
      <c r="F35" s="9"/>
      <c r="G35" s="9"/>
      <c r="H35" s="9"/>
      <c r="I35" s="9"/>
    </row>
    <row r="36" spans="1:9" x14ac:dyDescent="0.25">
      <c r="A36" s="18"/>
      <c r="B36" s="100" t="s">
        <v>37</v>
      </c>
      <c r="C36" s="100"/>
      <c r="D36" s="100"/>
      <c r="E36" s="100"/>
      <c r="F36" s="100"/>
      <c r="G36" s="15"/>
      <c r="H36" s="19">
        <f>SUM(H26:H34)</f>
        <v>6419.3457567000005</v>
      </c>
      <c r="I36" s="9"/>
    </row>
    <row r="37" spans="1:9" x14ac:dyDescent="0.25">
      <c r="A37" s="18"/>
      <c r="B37" s="9"/>
      <c r="C37" s="9"/>
      <c r="D37" s="9"/>
      <c r="E37" s="9"/>
      <c r="F37" s="9"/>
      <c r="G37" s="9"/>
      <c r="H37" s="9"/>
      <c r="I37" s="9"/>
    </row>
    <row r="38" spans="1:9" x14ac:dyDescent="0.25">
      <c r="A38" s="18"/>
      <c r="B38" s="101" t="s">
        <v>167</v>
      </c>
      <c r="C38" s="101"/>
      <c r="D38" s="101"/>
      <c r="E38" s="101"/>
      <c r="F38" s="101"/>
      <c r="G38" s="20"/>
      <c r="H38" s="21">
        <f>SUM(H24,H36)</f>
        <v>37733.227496700005</v>
      </c>
      <c r="I38" s="9"/>
    </row>
    <row r="39" spans="1:9" x14ac:dyDescent="0.25">
      <c r="A39" s="18"/>
      <c r="B39" s="9"/>
      <c r="C39" s="9"/>
      <c r="D39" s="9"/>
      <c r="E39" s="9"/>
      <c r="F39" s="9"/>
      <c r="G39" s="9"/>
      <c r="H39" s="9"/>
      <c r="I39" s="9"/>
    </row>
    <row r="40" spans="1:9" x14ac:dyDescent="0.25">
      <c r="A40" s="18"/>
      <c r="B40" s="101" t="s">
        <v>42</v>
      </c>
      <c r="C40" s="101"/>
      <c r="D40" s="101"/>
      <c r="E40" s="101"/>
      <c r="F40" s="101"/>
      <c r="G40" s="20"/>
      <c r="H40" s="21">
        <f>CEILING(H38/D3,1)</f>
        <v>378</v>
      </c>
      <c r="I40" s="9"/>
    </row>
  </sheetData>
  <mergeCells count="20">
    <mergeCell ref="B38:F38"/>
    <mergeCell ref="B40:F40"/>
    <mergeCell ref="B30:E30"/>
    <mergeCell ref="B31:E31"/>
    <mergeCell ref="B32:E32"/>
    <mergeCell ref="B33:E33"/>
    <mergeCell ref="B34:E34"/>
    <mergeCell ref="B36:F36"/>
    <mergeCell ref="B20:C20"/>
    <mergeCell ref="B24:F24"/>
    <mergeCell ref="B26:E26"/>
    <mergeCell ref="B27:E27"/>
    <mergeCell ref="B28:E28"/>
    <mergeCell ref="B29:E29"/>
    <mergeCell ref="B3:C3"/>
    <mergeCell ref="B6:C6"/>
    <mergeCell ref="B10:C10"/>
    <mergeCell ref="D10:F10"/>
    <mergeCell ref="B16:C16"/>
    <mergeCell ref="D16:F16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8DF14-189C-C948-98A0-918CE5C8E2C0}">
  <dimension ref="A1:I40"/>
  <sheetViews>
    <sheetView view="pageBreakPreview" zoomScaleNormal="100" zoomScaleSheetLayoutView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11" defaultRowHeight="15.75" x14ac:dyDescent="0.25"/>
  <cols>
    <col min="1" max="1" width="12.875" customWidth="1"/>
    <col min="2" max="2" width="25.875" customWidth="1"/>
    <col min="3" max="3" width="40.875" customWidth="1"/>
    <col min="4" max="4" width="12.875" customWidth="1"/>
    <col min="6" max="6" width="12.875" customWidth="1"/>
    <col min="8" max="8" width="15.875" customWidth="1"/>
    <col min="9" max="9" width="30.875" customWidth="1"/>
  </cols>
  <sheetData>
    <row r="1" spans="1:9" x14ac:dyDescent="0.25">
      <c r="A1" s="17" t="s">
        <v>50</v>
      </c>
      <c r="B1" s="14" t="s">
        <v>82</v>
      </c>
      <c r="C1" s="14"/>
      <c r="D1" s="9"/>
      <c r="E1" s="9"/>
      <c r="F1" s="9"/>
      <c r="G1" s="9"/>
      <c r="H1" s="9"/>
      <c r="I1" s="9"/>
    </row>
    <row r="2" spans="1:9" x14ac:dyDescent="0.25">
      <c r="A2" s="12"/>
      <c r="B2" s="14" t="s">
        <v>816</v>
      </c>
      <c r="C2" s="14"/>
      <c r="D2" s="9"/>
      <c r="E2" s="9"/>
      <c r="F2" s="9"/>
      <c r="G2" s="9"/>
      <c r="H2" s="9"/>
      <c r="I2" s="9"/>
    </row>
    <row r="3" spans="1:9" x14ac:dyDescent="0.25">
      <c r="A3" s="18"/>
      <c r="B3" s="97" t="s">
        <v>41</v>
      </c>
      <c r="C3" s="97"/>
      <c r="D3" s="7">
        <v>100</v>
      </c>
      <c r="E3" s="7" t="s">
        <v>40</v>
      </c>
      <c r="F3" s="7"/>
      <c r="G3" s="7"/>
      <c r="H3" s="7"/>
      <c r="I3" s="7"/>
    </row>
    <row r="4" spans="1:9" x14ac:dyDescent="0.25">
      <c r="A4" s="18"/>
      <c r="B4" s="23"/>
      <c r="C4" s="23"/>
      <c r="D4" s="7"/>
      <c r="E4" s="7"/>
      <c r="F4" s="7"/>
      <c r="G4" s="7"/>
      <c r="H4" s="7"/>
      <c r="I4" s="7"/>
    </row>
    <row r="5" spans="1:9" x14ac:dyDescent="0.25">
      <c r="A5" s="17" t="s">
        <v>19</v>
      </c>
      <c r="B5" s="17" t="s">
        <v>108</v>
      </c>
      <c r="C5" s="17" t="s">
        <v>33</v>
      </c>
      <c r="D5" s="17" t="s">
        <v>23</v>
      </c>
      <c r="E5" s="17" t="s">
        <v>18</v>
      </c>
      <c r="F5" s="17" t="s">
        <v>49</v>
      </c>
      <c r="G5" s="17" t="s">
        <v>46</v>
      </c>
      <c r="H5" s="17" t="s">
        <v>34</v>
      </c>
      <c r="I5" s="17" t="s">
        <v>35</v>
      </c>
    </row>
    <row r="6" spans="1:9" x14ac:dyDescent="0.25">
      <c r="A6" s="17"/>
      <c r="B6" s="98" t="s">
        <v>17</v>
      </c>
      <c r="C6" s="98"/>
      <c r="D6" s="18"/>
      <c r="E6" s="18"/>
      <c r="F6" s="18"/>
      <c r="G6" s="18"/>
      <c r="H6" s="17"/>
      <c r="I6" s="17"/>
    </row>
    <row r="7" spans="1:9" x14ac:dyDescent="0.25">
      <c r="A7" s="12" t="str">
        <f>'TN SOR data - Material'!A2</f>
        <v>M-0001</v>
      </c>
      <c r="B7" s="8" t="s">
        <v>813</v>
      </c>
      <c r="C7" s="29" t="str">
        <f>VLOOKUP(A7,'TN SOR data - Material'!A:D,2,FALSE)</f>
        <v>Cement</v>
      </c>
      <c r="D7" s="28">
        <v>0.432</v>
      </c>
      <c r="E7" s="8" t="s">
        <v>114</v>
      </c>
      <c r="F7" s="11">
        <f>VLOOKUP(A7,'TN SOR data - Material'!A:D,4,FALSE)</f>
        <v>5602.5</v>
      </c>
      <c r="G7" s="135" t="str">
        <f>VLOOKUP(A7,Table24[],3,FALSE)</f>
        <v>MT</v>
      </c>
      <c r="H7" s="10">
        <f t="shared" ref="H7:H8" si="0">PRODUCT(D7,F7)</f>
        <v>2420.2799999999997</v>
      </c>
      <c r="I7" s="6"/>
    </row>
    <row r="8" spans="1:9" x14ac:dyDescent="0.25">
      <c r="A8" s="12" t="str">
        <f>'TN SOR data - Material'!A95</f>
        <v>M-0126</v>
      </c>
      <c r="B8" s="8" t="s">
        <v>145</v>
      </c>
      <c r="C8" s="29" t="str">
        <f>VLOOKUP(A8,'TN SOR data - Material'!A:D,2,FALSE)</f>
        <v>Plastering Sand (P-Sand)</v>
      </c>
      <c r="D8" s="24">
        <v>1.8</v>
      </c>
      <c r="E8" s="8" t="s">
        <v>40</v>
      </c>
      <c r="F8" s="11">
        <f>VLOOKUP(A8,'TN SOR data - Material'!A:D,4,FALSE)</f>
        <v>1584.7</v>
      </c>
      <c r="G8" s="135" t="str">
        <f>VLOOKUP(A8,Table24[],3,FALSE)</f>
        <v>Cu.M</v>
      </c>
      <c r="H8" s="10">
        <f t="shared" si="0"/>
        <v>2852.46</v>
      </c>
      <c r="I8" s="6"/>
    </row>
    <row r="9" spans="1:9" x14ac:dyDescent="0.25">
      <c r="A9" s="12"/>
      <c r="B9" s="7"/>
      <c r="C9" s="7"/>
      <c r="D9" s="8"/>
      <c r="E9" s="8"/>
      <c r="F9" s="11"/>
      <c r="G9" s="11"/>
      <c r="H9" s="10"/>
      <c r="I9" s="6"/>
    </row>
    <row r="10" spans="1:9" x14ac:dyDescent="0.25">
      <c r="A10" s="17"/>
      <c r="B10" s="98" t="s">
        <v>38</v>
      </c>
      <c r="C10" s="98"/>
      <c r="D10" s="99"/>
      <c r="E10" s="99"/>
      <c r="F10" s="99"/>
      <c r="G10" s="22"/>
      <c r="H10" s="17"/>
      <c r="I10" s="17"/>
    </row>
    <row r="11" spans="1:9" x14ac:dyDescent="0.25">
      <c r="A11" s="12" t="str">
        <f>'TN SOR data - Labour'!A26</f>
        <v>L-0029</v>
      </c>
      <c r="B11" s="8" t="s">
        <v>148</v>
      </c>
      <c r="C11" s="29" t="str">
        <f>VLOOKUP(A11,'TN SOR data - Labour'!A:D,2,FALSE)</f>
        <v>Mason for Brick Work-I Class</v>
      </c>
      <c r="D11" s="8">
        <v>1</v>
      </c>
      <c r="E11" s="8" t="s">
        <v>20</v>
      </c>
      <c r="F11" s="11">
        <f>VLOOKUP(A11,'TN SOR data - Labour'!A:D,4,FALSE)</f>
        <v>1174</v>
      </c>
      <c r="G11" s="135" t="str">
        <f>VLOOKUP(A11,Table1[],3,FALSE)</f>
        <v>Day</v>
      </c>
      <c r="H11" s="10">
        <f>PRODUCT(D11,F11)</f>
        <v>1174</v>
      </c>
      <c r="I11" s="6"/>
    </row>
    <row r="12" spans="1:9" x14ac:dyDescent="0.25">
      <c r="A12" s="12" t="str">
        <f>'TN SOR data - Labour'!A26</f>
        <v>L-0029</v>
      </c>
      <c r="B12" s="8" t="s">
        <v>22</v>
      </c>
      <c r="C12" s="29" t="str">
        <f>VLOOKUP(A12,'TN SOR data - Labour'!A:D,2,FALSE)</f>
        <v>Mason for Brick Work-I Class</v>
      </c>
      <c r="D12" s="8">
        <v>10</v>
      </c>
      <c r="E12" s="8" t="s">
        <v>20</v>
      </c>
      <c r="F12" s="11">
        <f>VLOOKUP(A12,'TN SOR data - Labour'!A:D,4,FALSE)</f>
        <v>1174</v>
      </c>
      <c r="G12" s="135" t="str">
        <f>VLOOKUP(A12,Table1[],3,FALSE)</f>
        <v>Day</v>
      </c>
      <c r="H12" s="10">
        <f>PRODUCT(D12,F12)</f>
        <v>11740</v>
      </c>
      <c r="I12" s="6"/>
    </row>
    <row r="13" spans="1:9" x14ac:dyDescent="0.25">
      <c r="A13" s="12" t="str">
        <f>'TN SOR data - Labour'!A63</f>
        <v>L-0073</v>
      </c>
      <c r="B13" s="8" t="s">
        <v>44</v>
      </c>
      <c r="C13" s="29" t="str">
        <f>VLOOKUP(A13,'[1]Tamil Nadu SOR data - Labour'!$A:$D,2,FALSE)</f>
        <v>Mazdoor Category-I</v>
      </c>
      <c r="D13" s="8">
        <v>10</v>
      </c>
      <c r="E13" s="8" t="s">
        <v>20</v>
      </c>
      <c r="F13" s="11">
        <f>VLOOKUP(A13,'TN SOR data - Labour'!A:D,4,FALSE)</f>
        <v>766</v>
      </c>
      <c r="G13" s="135" t="str">
        <f>VLOOKUP(A13,Table1[],3,FALSE)</f>
        <v>Day</v>
      </c>
      <c r="H13" s="10">
        <f t="shared" ref="H13" si="1">PRODUCT(D13,F13)</f>
        <v>7660</v>
      </c>
      <c r="I13" s="6"/>
    </row>
    <row r="14" spans="1:9" x14ac:dyDescent="0.25">
      <c r="A14" s="12" t="str">
        <f>'TN SOR data - Labour'!A85</f>
        <v>L-0098</v>
      </c>
      <c r="B14" s="8" t="s">
        <v>45</v>
      </c>
      <c r="C14" s="29" t="str">
        <f>VLOOKUP(A14,'TN SOR data - Labour'!A:D,2,FALSE)</f>
        <v>Mazdoor Category-II</v>
      </c>
      <c r="D14" s="8">
        <v>5</v>
      </c>
      <c r="E14" s="8" t="s">
        <v>20</v>
      </c>
      <c r="F14" s="11">
        <f>VLOOKUP(A14,'TN SOR data - Labour'!A:D,4,FALSE)</f>
        <v>628</v>
      </c>
      <c r="G14" s="135" t="str">
        <f>VLOOKUP(A14,Table1[],3,FALSE)</f>
        <v>Day</v>
      </c>
      <c r="H14" s="10">
        <f>PRODUCT(D14,F14)</f>
        <v>3140</v>
      </c>
      <c r="I14" s="6"/>
    </row>
    <row r="15" spans="1:9" x14ac:dyDescent="0.25">
      <c r="A15" s="12"/>
      <c r="B15" s="6"/>
      <c r="C15" s="6"/>
      <c r="D15" s="6"/>
      <c r="E15" s="6"/>
      <c r="F15" s="6"/>
      <c r="G15" s="6"/>
      <c r="H15" s="6"/>
      <c r="I15" s="6"/>
    </row>
    <row r="16" spans="1:9" x14ac:dyDescent="0.25">
      <c r="A16" s="17"/>
      <c r="B16" s="98" t="s">
        <v>39</v>
      </c>
      <c r="C16" s="98"/>
      <c r="D16" s="99"/>
      <c r="E16" s="99"/>
      <c r="F16" s="99"/>
      <c r="G16" s="22"/>
      <c r="H16" s="17"/>
      <c r="I16" s="17"/>
    </row>
    <row r="17" spans="1:9" x14ac:dyDescent="0.25">
      <c r="A17" s="12" t="str">
        <f>'SOR data - Equipment'!A23</f>
        <v>H-0118</v>
      </c>
      <c r="B17" s="8" t="s">
        <v>43</v>
      </c>
      <c r="C17" s="29" t="str">
        <f>VLOOKUP(A17,'SOR data - Equipment'!A:D,2,FALSE)</f>
        <v>Hire charges for Masonry Scaffolding</v>
      </c>
      <c r="D17" s="8">
        <v>1</v>
      </c>
      <c r="E17" s="8" t="s">
        <v>48</v>
      </c>
      <c r="F17" s="11">
        <f>VLOOKUP(A17,'SOR data - Equipment'!A:D,4,FALSE)</f>
        <v>750</v>
      </c>
      <c r="G17" s="135" t="str">
        <f>VLOOKUP(A17,'SOR data - Equipment'!A:D,3,FALSE)</f>
        <v>Day</v>
      </c>
      <c r="H17" s="10">
        <f>PRODUCT(D17,F17)</f>
        <v>750</v>
      </c>
      <c r="I17" s="6"/>
    </row>
    <row r="18" spans="1:9" x14ac:dyDescent="0.25">
      <c r="A18" s="12" t="str">
        <f>'SOR data - Equipment'!A22</f>
        <v>H-0117</v>
      </c>
      <c r="B18" s="8" t="s">
        <v>140</v>
      </c>
      <c r="C18" s="29" t="str">
        <f>VLOOKUP(A18,'SOR data - Equipment'!A:D,2,FALSE)</f>
        <v>Hire charges for Masonry Tools and Tackles</v>
      </c>
      <c r="D18" s="8">
        <v>1</v>
      </c>
      <c r="E18" s="8" t="s">
        <v>48</v>
      </c>
      <c r="F18" s="11">
        <f>VLOOKUP(A18,'SOR data - Equipment'!A:D,4,FALSE)</f>
        <v>450</v>
      </c>
      <c r="G18" s="135" t="str">
        <f>VLOOKUP(A18,'SOR data - Equipment'!A:D,3,FALSE)</f>
        <v>Day</v>
      </c>
      <c r="H18" s="10">
        <f>PRODUCT(D18,F18)</f>
        <v>450</v>
      </c>
      <c r="I18" s="6"/>
    </row>
    <row r="19" spans="1:9" x14ac:dyDescent="0.25">
      <c r="A19" s="12"/>
      <c r="B19" s="8"/>
      <c r="C19" s="8"/>
      <c r="D19" s="8"/>
      <c r="E19" s="8"/>
      <c r="F19" s="11"/>
      <c r="G19" s="11"/>
      <c r="H19" s="10"/>
      <c r="I19" s="6"/>
    </row>
    <row r="20" spans="1:9" x14ac:dyDescent="0.25">
      <c r="A20" s="12"/>
      <c r="B20" s="98" t="s">
        <v>180</v>
      </c>
      <c r="C20" s="98"/>
      <c r="D20" s="8"/>
      <c r="E20" s="8"/>
      <c r="F20" s="11"/>
      <c r="G20" s="11"/>
      <c r="H20" s="10"/>
      <c r="I20" s="6"/>
    </row>
    <row r="21" spans="1:9" x14ac:dyDescent="0.25">
      <c r="A21" s="12"/>
      <c r="B21" s="151" t="str">
        <f>'LEAD &amp; LIFT'!A20</f>
        <v>Cement</v>
      </c>
      <c r="C21" s="8"/>
      <c r="D21" s="24">
        <f>D7</f>
        <v>0.432</v>
      </c>
      <c r="E21" s="8" t="str">
        <f>E7</f>
        <v>MT</v>
      </c>
      <c r="F21" s="11">
        <f>VLOOKUP(B21,Table13[#All],5,FALSE)</f>
        <v>376.06</v>
      </c>
      <c r="G21" s="8" t="str">
        <f>G7</f>
        <v>MT</v>
      </c>
      <c r="H21" s="10">
        <f>(F21*D21)</f>
        <v>162.45792</v>
      </c>
      <c r="I21" s="6"/>
    </row>
    <row r="22" spans="1:9" x14ac:dyDescent="0.25">
      <c r="A22" s="12"/>
      <c r="B22" s="151" t="str">
        <f>'LEAD &amp; LIFT'!A23</f>
        <v>Fine Aggregate</v>
      </c>
      <c r="C22" s="8"/>
      <c r="D22" s="24">
        <f>D8</f>
        <v>1.8</v>
      </c>
      <c r="E22" s="8" t="str">
        <f>E8</f>
        <v>Cu.M</v>
      </c>
      <c r="F22" s="11">
        <f>VLOOKUP(B22,Table13[#All],5,FALSE)</f>
        <v>350.55</v>
      </c>
      <c r="G22" s="8" t="str">
        <f>G8</f>
        <v>Cu.M</v>
      </c>
      <c r="H22" s="10">
        <f>(F22*D22)</f>
        <v>630.99</v>
      </c>
      <c r="I22" s="6"/>
    </row>
    <row r="23" spans="1:9" x14ac:dyDescent="0.25">
      <c r="A23" s="12"/>
      <c r="B23" s="8"/>
      <c r="C23" s="8"/>
      <c r="D23" s="8"/>
      <c r="E23" s="8"/>
      <c r="F23" s="11"/>
      <c r="G23" s="11"/>
      <c r="H23" s="10"/>
      <c r="I23" s="6"/>
    </row>
    <row r="24" spans="1:9" x14ac:dyDescent="0.25">
      <c r="A24" s="12"/>
      <c r="B24" s="100" t="s">
        <v>36</v>
      </c>
      <c r="C24" s="100"/>
      <c r="D24" s="100"/>
      <c r="E24" s="100"/>
      <c r="F24" s="100"/>
      <c r="G24" s="15"/>
      <c r="H24" s="19">
        <f>SUM(H7:H8,H11:H14,H17:H18,H21:H22)</f>
        <v>30980.18792</v>
      </c>
      <c r="I24" s="8"/>
    </row>
    <row r="25" spans="1:9" x14ac:dyDescent="0.25">
      <c r="A25" s="12"/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12"/>
      <c r="B26" s="96" t="s">
        <v>24</v>
      </c>
      <c r="C26" s="96"/>
      <c r="D26" s="96"/>
      <c r="E26" s="96"/>
      <c r="F26" s="13">
        <v>1.4999999999999999E-2</v>
      </c>
      <c r="G26" s="13"/>
      <c r="H26" s="10">
        <f>PRODUCT(H24,F26)</f>
        <v>464.70281879999999</v>
      </c>
      <c r="I26" s="6"/>
    </row>
    <row r="27" spans="1:9" x14ac:dyDescent="0.25">
      <c r="A27" s="12"/>
      <c r="B27" s="96" t="s">
        <v>25</v>
      </c>
      <c r="C27" s="96"/>
      <c r="D27" s="96"/>
      <c r="E27" s="96"/>
      <c r="F27" s="13">
        <v>0.01</v>
      </c>
      <c r="G27" s="13"/>
      <c r="H27" s="10">
        <f>PRODUCT(H24,F27)</f>
        <v>309.80187920000003</v>
      </c>
      <c r="I27" s="6"/>
    </row>
    <row r="28" spans="1:9" x14ac:dyDescent="0.25">
      <c r="A28" s="12"/>
      <c r="B28" s="96" t="s">
        <v>26</v>
      </c>
      <c r="C28" s="96"/>
      <c r="D28" s="96"/>
      <c r="E28" s="96"/>
      <c r="F28" s="13">
        <v>5.0000000000000001E-3</v>
      </c>
      <c r="G28" s="13"/>
      <c r="H28" s="10">
        <f>PRODUCT(H24,F28)</f>
        <v>154.90093960000002</v>
      </c>
      <c r="I28" s="6"/>
    </row>
    <row r="29" spans="1:9" x14ac:dyDescent="0.25">
      <c r="A29" s="12"/>
      <c r="B29" s="96" t="s">
        <v>27</v>
      </c>
      <c r="C29" s="96"/>
      <c r="D29" s="96"/>
      <c r="E29" s="96"/>
      <c r="F29" s="13">
        <v>0.01</v>
      </c>
      <c r="G29" s="13"/>
      <c r="H29" s="10">
        <f>PRODUCT(H24,F29)</f>
        <v>309.80187920000003</v>
      </c>
      <c r="I29" s="6"/>
    </row>
    <row r="30" spans="1:9" x14ac:dyDescent="0.25">
      <c r="A30" s="12"/>
      <c r="B30" s="96" t="s">
        <v>28</v>
      </c>
      <c r="C30" s="96"/>
      <c r="D30" s="96"/>
      <c r="E30" s="96"/>
      <c r="F30" s="13">
        <v>5.0000000000000001E-3</v>
      </c>
      <c r="G30" s="13"/>
      <c r="H30" s="10">
        <f>PRODUCT(H24,F30)</f>
        <v>154.90093960000002</v>
      </c>
      <c r="I30" s="6"/>
    </row>
    <row r="31" spans="1:9" x14ac:dyDescent="0.25">
      <c r="A31" s="12"/>
      <c r="B31" s="96" t="s">
        <v>29</v>
      </c>
      <c r="C31" s="96"/>
      <c r="D31" s="96"/>
      <c r="E31" s="96"/>
      <c r="F31" s="13">
        <v>5.0000000000000001E-3</v>
      </c>
      <c r="G31" s="13"/>
      <c r="H31" s="10">
        <f>PRODUCT(H24,F31)</f>
        <v>154.90093960000002</v>
      </c>
      <c r="I31" s="6"/>
    </row>
    <row r="32" spans="1:9" x14ac:dyDescent="0.25">
      <c r="A32" s="12"/>
      <c r="B32" s="96" t="s">
        <v>30</v>
      </c>
      <c r="C32" s="96"/>
      <c r="D32" s="96"/>
      <c r="E32" s="96"/>
      <c r="F32" s="13">
        <v>5.0000000000000001E-3</v>
      </c>
      <c r="G32" s="13"/>
      <c r="H32" s="10">
        <f>PRODUCT(H24,F32)</f>
        <v>154.90093960000002</v>
      </c>
      <c r="I32" s="6"/>
    </row>
    <row r="33" spans="1:9" x14ac:dyDescent="0.25">
      <c r="A33" s="12"/>
      <c r="B33" s="96" t="s">
        <v>31</v>
      </c>
      <c r="C33" s="96"/>
      <c r="D33" s="96"/>
      <c r="E33" s="96"/>
      <c r="F33" s="13">
        <v>0.05</v>
      </c>
      <c r="G33" s="13"/>
      <c r="H33" s="10">
        <f>PRODUCT(H24,F33)</f>
        <v>1549.0093960000002</v>
      </c>
      <c r="I33" s="6"/>
    </row>
    <row r="34" spans="1:9" x14ac:dyDescent="0.25">
      <c r="A34" s="12"/>
      <c r="B34" s="96" t="s">
        <v>32</v>
      </c>
      <c r="C34" s="96"/>
      <c r="D34" s="96"/>
      <c r="E34" s="96"/>
      <c r="F34" s="13">
        <v>0.1</v>
      </c>
      <c r="G34" s="13"/>
      <c r="H34" s="10">
        <f>PRODUCT(H24,F34)</f>
        <v>3098.0187920000003</v>
      </c>
      <c r="I34" s="6"/>
    </row>
    <row r="35" spans="1:9" x14ac:dyDescent="0.25">
      <c r="A35" s="18"/>
      <c r="B35" s="9"/>
      <c r="C35" s="9"/>
      <c r="D35" s="9"/>
      <c r="E35" s="9"/>
      <c r="F35" s="9"/>
      <c r="G35" s="9"/>
      <c r="H35" s="9"/>
      <c r="I35" s="9"/>
    </row>
    <row r="36" spans="1:9" x14ac:dyDescent="0.25">
      <c r="A36" s="18"/>
      <c r="B36" s="100" t="s">
        <v>37</v>
      </c>
      <c r="C36" s="100"/>
      <c r="D36" s="100"/>
      <c r="E36" s="100"/>
      <c r="F36" s="100"/>
      <c r="G36" s="15"/>
      <c r="H36" s="19">
        <f>SUM(H26:H34)</f>
        <v>6350.9385236000016</v>
      </c>
      <c r="I36" s="9"/>
    </row>
    <row r="37" spans="1:9" x14ac:dyDescent="0.25">
      <c r="A37" s="18"/>
      <c r="B37" s="9"/>
      <c r="C37" s="9"/>
      <c r="D37" s="9"/>
      <c r="E37" s="9"/>
      <c r="F37" s="9"/>
      <c r="G37" s="9"/>
      <c r="H37" s="9"/>
      <c r="I37" s="9"/>
    </row>
    <row r="38" spans="1:9" x14ac:dyDescent="0.25">
      <c r="A38" s="18"/>
      <c r="B38" s="101" t="s">
        <v>167</v>
      </c>
      <c r="C38" s="101"/>
      <c r="D38" s="101"/>
      <c r="E38" s="101"/>
      <c r="F38" s="101"/>
      <c r="G38" s="20"/>
      <c r="H38" s="21">
        <f>SUM(H24,H36)</f>
        <v>37331.126443600006</v>
      </c>
      <c r="I38" s="9"/>
    </row>
    <row r="39" spans="1:9" x14ac:dyDescent="0.25">
      <c r="A39" s="18"/>
      <c r="B39" s="9"/>
      <c r="C39" s="9"/>
      <c r="D39" s="9"/>
      <c r="E39" s="9"/>
      <c r="F39" s="9"/>
      <c r="G39" s="9"/>
      <c r="H39" s="9"/>
      <c r="I39" s="9"/>
    </row>
    <row r="40" spans="1:9" x14ac:dyDescent="0.25">
      <c r="A40" s="18"/>
      <c r="B40" s="101" t="s">
        <v>42</v>
      </c>
      <c r="C40" s="101"/>
      <c r="D40" s="101"/>
      <c r="E40" s="101"/>
      <c r="F40" s="101"/>
      <c r="G40" s="20"/>
      <c r="H40" s="21">
        <f>CEILING(H38/D3,1)</f>
        <v>374</v>
      </c>
      <c r="I40" s="9"/>
    </row>
  </sheetData>
  <mergeCells count="20">
    <mergeCell ref="B38:F38"/>
    <mergeCell ref="B40:F40"/>
    <mergeCell ref="B30:E30"/>
    <mergeCell ref="B31:E31"/>
    <mergeCell ref="B32:E32"/>
    <mergeCell ref="B33:E33"/>
    <mergeCell ref="B34:E34"/>
    <mergeCell ref="B36:F36"/>
    <mergeCell ref="B20:C20"/>
    <mergeCell ref="B24:F24"/>
    <mergeCell ref="B26:E26"/>
    <mergeCell ref="B27:E27"/>
    <mergeCell ref="B28:E28"/>
    <mergeCell ref="B29:E29"/>
    <mergeCell ref="B3:C3"/>
    <mergeCell ref="B6:C6"/>
    <mergeCell ref="B10:C10"/>
    <mergeCell ref="D10:F10"/>
    <mergeCell ref="B16:C16"/>
    <mergeCell ref="D16:F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TN SOR data - Labour</vt:lpstr>
      <vt:lpstr>TN SOR data - Material</vt:lpstr>
      <vt:lpstr>SOR data - Equipment</vt:lpstr>
      <vt:lpstr>Work Item Package</vt:lpstr>
      <vt:lpstr>LEAD &amp; LIFT</vt:lpstr>
      <vt:lpstr>A</vt:lpstr>
      <vt:lpstr>B1</vt:lpstr>
      <vt:lpstr>B2</vt:lpstr>
      <vt:lpstr>B3</vt:lpstr>
      <vt:lpstr>B4</vt:lpstr>
      <vt:lpstr>B5</vt:lpstr>
      <vt:lpstr>C1</vt:lpstr>
      <vt:lpstr>C2</vt:lpstr>
      <vt:lpstr>C3</vt:lpstr>
      <vt:lpstr>D1</vt:lpstr>
      <vt:lpstr>E1</vt:lpstr>
      <vt:lpstr>E2</vt:lpstr>
      <vt:lpstr>E3</vt:lpstr>
      <vt:lpstr>E4</vt:lpstr>
      <vt:lpstr>E5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Joshin Rose</cp:lastModifiedBy>
  <dcterms:created xsi:type="dcterms:W3CDTF">2026-02-23T16:05:51Z</dcterms:created>
  <dcterms:modified xsi:type="dcterms:W3CDTF">2026-03-21T04:33:09Z</dcterms:modified>
</cp:coreProperties>
</file>